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OneDrive\Desktop\Pictures\Screenshots\New folder\Desktop\Trimester-3\"/>
    </mc:Choice>
  </mc:AlternateContent>
  <xr:revisionPtr revIDLastSave="0" documentId="13_ncr:1_{7093725E-23DC-40D8-897B-0C2F1AF96075}" xr6:coauthVersionLast="47" xr6:coauthVersionMax="47" xr10:uidLastSave="{00000000-0000-0000-0000-000000000000}"/>
  <bookViews>
    <workbookView xWindow="-108" yWindow="-108" windowWidth="23256" windowHeight="12456" firstSheet="3" activeTab="7" xr2:uid="{8D6195D6-2CC4-4355-8947-F69C47AB3D6D}"/>
  </bookViews>
  <sheets>
    <sheet name="Index" sheetId="11" r:id="rId1"/>
    <sheet name="SBI Balanced Advantage Fund " sheetId="6" r:id="rId2"/>
    <sheet name="Tata Arbitrage Fund" sheetId="2" r:id="rId3"/>
    <sheet name="Canara Robeco Large CAP Fund" sheetId="5" r:id="rId4"/>
    <sheet name="Edelweiss liquid fund" sheetId="3" r:id="rId5"/>
    <sheet name="HDFC NIFTY Next 50 Index Fund" sheetId="4" r:id="rId6"/>
    <sheet name="DASHBOARD" sheetId="15" r:id="rId7"/>
    <sheet name="KPI" sheetId="13" r:id="rId8"/>
  </sheets>
  <definedNames>
    <definedName name="_xlchart.v1.0" hidden="1">KPI!$B$3:$B$7</definedName>
    <definedName name="_xlchart.v1.1" hidden="1">KPI!$G$2</definedName>
    <definedName name="_xlchart.v1.2" hidden="1">KPI!$G$3:$G$7</definedName>
    <definedName name="_xlchart.v1.3" hidden="1">KPI!$B$3:$B$7</definedName>
    <definedName name="_xlchart.v1.4" hidden="1">KPI!$G$2</definedName>
    <definedName name="_xlchart.v1.5" hidden="1">KPI!$G$3:$G$7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3" l="1"/>
  <c r="H3" i="13"/>
  <c r="G3" i="13"/>
  <c r="F3" i="13"/>
  <c r="E3" i="13"/>
  <c r="D3" i="13"/>
  <c r="C3" i="13"/>
  <c r="I5" i="13"/>
  <c r="H5" i="13"/>
  <c r="G5" i="13"/>
  <c r="F5" i="13"/>
  <c r="E5" i="13"/>
  <c r="D6" i="13"/>
  <c r="D5" i="13"/>
  <c r="C5" i="13"/>
  <c r="I7" i="13"/>
  <c r="H7" i="13"/>
  <c r="G7" i="13"/>
  <c r="F7" i="13"/>
  <c r="E7" i="13"/>
  <c r="D7" i="13"/>
  <c r="C7" i="13"/>
  <c r="I6" i="13"/>
  <c r="H6" i="13"/>
  <c r="G6" i="13"/>
  <c r="F6" i="13"/>
  <c r="E6" i="13"/>
  <c r="C6" i="13"/>
  <c r="I4" i="13"/>
  <c r="H4" i="13"/>
  <c r="G4" i="13"/>
  <c r="F4" i="13"/>
  <c r="E4" i="13"/>
  <c r="D4" i="13"/>
  <c r="C4" i="13"/>
  <c r="R2" i="3"/>
  <c r="N2" i="3"/>
  <c r="J13" i="3"/>
  <c r="J12" i="3"/>
  <c r="J11" i="3"/>
  <c r="J10" i="3"/>
  <c r="J9" i="3"/>
  <c r="J8" i="3"/>
  <c r="J7" i="3"/>
  <c r="J6" i="3"/>
  <c r="J5" i="3"/>
  <c r="J4" i="3"/>
  <c r="J3" i="3"/>
  <c r="I13" i="3"/>
  <c r="I12" i="3"/>
  <c r="I11" i="3"/>
  <c r="I10" i="3"/>
  <c r="I9" i="3"/>
  <c r="I8" i="3"/>
  <c r="I7" i="3"/>
  <c r="I6" i="3"/>
  <c r="I5" i="3"/>
  <c r="I4" i="3"/>
  <c r="I3" i="3"/>
  <c r="J2" i="3"/>
  <c r="I2" i="3"/>
  <c r="E3" i="3"/>
  <c r="D3" i="3"/>
  <c r="N2" i="6" l="1"/>
  <c r="J12" i="6"/>
  <c r="J11" i="6"/>
  <c r="J10" i="6"/>
  <c r="J9" i="6"/>
  <c r="J8" i="6"/>
  <c r="J7" i="6"/>
  <c r="J6" i="6"/>
  <c r="J5" i="6"/>
  <c r="I12" i="6"/>
  <c r="I11" i="6"/>
  <c r="I10" i="6"/>
  <c r="I9" i="6"/>
  <c r="I8" i="6"/>
  <c r="I7" i="6"/>
  <c r="I6" i="6"/>
  <c r="I5" i="6"/>
  <c r="J13" i="6"/>
  <c r="J4" i="6"/>
  <c r="J3" i="6"/>
  <c r="I13" i="6"/>
  <c r="I4" i="6"/>
  <c r="I3" i="6"/>
  <c r="J2" i="6"/>
  <c r="I2" i="6"/>
  <c r="E247" i="6"/>
  <c r="D247" i="6"/>
  <c r="E247" i="5"/>
  <c r="E248" i="5"/>
  <c r="D247" i="5"/>
  <c r="D248" i="5"/>
  <c r="Q2" i="5"/>
  <c r="N2" i="5"/>
  <c r="J13" i="5"/>
  <c r="R2" i="5" s="1"/>
  <c r="J12" i="5"/>
  <c r="J11" i="5"/>
  <c r="J10" i="5"/>
  <c r="J9" i="5"/>
  <c r="J8" i="5"/>
  <c r="J7" i="5"/>
  <c r="J6" i="5"/>
  <c r="J5" i="5"/>
  <c r="J4" i="5"/>
  <c r="J3" i="5"/>
  <c r="J2" i="5"/>
  <c r="I13" i="5"/>
  <c r="I12" i="5"/>
  <c r="I11" i="5"/>
  <c r="I10" i="5"/>
  <c r="I9" i="5"/>
  <c r="I8" i="5"/>
  <c r="I7" i="5"/>
  <c r="I6" i="5"/>
  <c r="I5" i="5"/>
  <c r="I4" i="5"/>
  <c r="I3" i="5"/>
  <c r="I2" i="5"/>
  <c r="D3" i="5"/>
  <c r="N3" i="4"/>
  <c r="N2" i="4" l="1"/>
  <c r="J12" i="4"/>
  <c r="J11" i="4"/>
  <c r="J10" i="4"/>
  <c r="J8" i="4"/>
  <c r="J7" i="4"/>
  <c r="J6" i="4"/>
  <c r="I13" i="4"/>
  <c r="I12" i="4"/>
  <c r="I11" i="4"/>
  <c r="I10" i="4"/>
  <c r="I9" i="4"/>
  <c r="I8" i="4"/>
  <c r="I7" i="4"/>
  <c r="I6" i="4"/>
  <c r="I5" i="4"/>
  <c r="I4" i="4"/>
  <c r="I2" i="4"/>
  <c r="E4" i="4"/>
  <c r="E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3" i="4"/>
  <c r="I3" i="4" l="1"/>
  <c r="N5" i="2"/>
  <c r="N4" i="2"/>
  <c r="Q2" i="2"/>
  <c r="N3" i="2"/>
  <c r="N2" i="2"/>
  <c r="F3" i="2"/>
  <c r="J13" i="2"/>
  <c r="J12" i="2"/>
  <c r="J11" i="2"/>
  <c r="J10" i="2"/>
  <c r="J9" i="2"/>
  <c r="J8" i="2"/>
  <c r="J7" i="2"/>
  <c r="J6" i="2"/>
  <c r="J5" i="2"/>
  <c r="J4" i="2"/>
  <c r="J3" i="2"/>
  <c r="J2" i="2"/>
  <c r="D3" i="2"/>
  <c r="I13" i="2"/>
  <c r="I12" i="2"/>
  <c r="I11" i="2"/>
  <c r="I10" i="2"/>
  <c r="I8" i="2"/>
  <c r="I9" i="2"/>
  <c r="I7" i="2"/>
  <c r="I4" i="2"/>
  <c r="I3" i="2"/>
  <c r="I2" i="2"/>
  <c r="I5" i="2"/>
  <c r="I6" i="2"/>
  <c r="D246" i="6" l="1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3" i="5"/>
  <c r="E249" i="3"/>
  <c r="D249" i="3"/>
  <c r="E248" i="3"/>
  <c r="D248" i="3"/>
  <c r="E247" i="3"/>
  <c r="D247" i="3"/>
  <c r="E246" i="3"/>
  <c r="D246" i="3"/>
  <c r="E245" i="3"/>
  <c r="D245" i="3"/>
  <c r="E244" i="3"/>
  <c r="D244" i="3"/>
  <c r="E243" i="3"/>
  <c r="D243" i="3"/>
  <c r="E242" i="3"/>
  <c r="D242" i="3"/>
  <c r="E241" i="3"/>
  <c r="D241" i="3"/>
  <c r="E240" i="3"/>
  <c r="D240" i="3"/>
  <c r="E239" i="3"/>
  <c r="D239" i="3"/>
  <c r="E238" i="3"/>
  <c r="D238" i="3"/>
  <c r="E237" i="3"/>
  <c r="D237" i="3"/>
  <c r="E236" i="3"/>
  <c r="D236" i="3"/>
  <c r="E235" i="3"/>
  <c r="D235" i="3"/>
  <c r="E234" i="3"/>
  <c r="D234" i="3"/>
  <c r="E233" i="3"/>
  <c r="D233" i="3"/>
  <c r="E232" i="3"/>
  <c r="D232" i="3"/>
  <c r="E231" i="3"/>
  <c r="D231" i="3"/>
  <c r="E230" i="3"/>
  <c r="D230" i="3"/>
  <c r="E229" i="3"/>
  <c r="D229" i="3"/>
  <c r="E228" i="3"/>
  <c r="D228" i="3"/>
  <c r="E227" i="3"/>
  <c r="D227" i="3"/>
  <c r="E226" i="3"/>
  <c r="D226" i="3"/>
  <c r="E225" i="3"/>
  <c r="D225" i="3"/>
  <c r="E224" i="3"/>
  <c r="D224" i="3"/>
  <c r="E223" i="3"/>
  <c r="D223" i="3"/>
  <c r="E222" i="3"/>
  <c r="D222" i="3"/>
  <c r="E221" i="3"/>
  <c r="D221" i="3"/>
  <c r="E220" i="3"/>
  <c r="D220" i="3"/>
  <c r="E219" i="3"/>
  <c r="D219" i="3"/>
  <c r="E218" i="3"/>
  <c r="D218" i="3"/>
  <c r="E217" i="3"/>
  <c r="D217" i="3"/>
  <c r="E216" i="3"/>
  <c r="D216" i="3"/>
  <c r="E215" i="3"/>
  <c r="D215" i="3"/>
  <c r="E214" i="3"/>
  <c r="D214" i="3"/>
  <c r="E213" i="3"/>
  <c r="D213" i="3"/>
  <c r="E212" i="3"/>
  <c r="D212" i="3"/>
  <c r="E211" i="3"/>
  <c r="D211" i="3"/>
  <c r="E210" i="3"/>
  <c r="D210" i="3"/>
  <c r="E209" i="3"/>
  <c r="D209" i="3"/>
  <c r="E208" i="3"/>
  <c r="D208" i="3"/>
  <c r="E207" i="3"/>
  <c r="D207" i="3"/>
  <c r="E206" i="3"/>
  <c r="D206" i="3"/>
  <c r="E205" i="3"/>
  <c r="D205" i="3"/>
  <c r="E204" i="3"/>
  <c r="D204" i="3"/>
  <c r="E203" i="3"/>
  <c r="D203" i="3"/>
  <c r="E202" i="3"/>
  <c r="D202" i="3"/>
  <c r="E201" i="3"/>
  <c r="D201" i="3"/>
  <c r="E200" i="3"/>
  <c r="D200" i="3"/>
  <c r="E199" i="3"/>
  <c r="D199" i="3"/>
  <c r="E198" i="3"/>
  <c r="D198" i="3"/>
  <c r="E197" i="3"/>
  <c r="D197" i="3"/>
  <c r="E196" i="3"/>
  <c r="D196" i="3"/>
  <c r="E195" i="3"/>
  <c r="D195" i="3"/>
  <c r="E194" i="3"/>
  <c r="D194" i="3"/>
  <c r="E193" i="3"/>
  <c r="D193" i="3"/>
  <c r="E192" i="3"/>
  <c r="D192" i="3"/>
  <c r="E191" i="3"/>
  <c r="D191" i="3"/>
  <c r="E190" i="3"/>
  <c r="D190" i="3"/>
  <c r="E189" i="3"/>
  <c r="D189" i="3"/>
  <c r="E188" i="3"/>
  <c r="D188" i="3"/>
  <c r="E187" i="3"/>
  <c r="D187" i="3"/>
  <c r="E186" i="3"/>
  <c r="D186" i="3"/>
  <c r="E185" i="3"/>
  <c r="D185" i="3"/>
  <c r="E184" i="3"/>
  <c r="D184" i="3"/>
  <c r="E183" i="3"/>
  <c r="D183" i="3"/>
  <c r="E182" i="3"/>
  <c r="D182" i="3"/>
  <c r="E181" i="3"/>
  <c r="D181" i="3"/>
  <c r="E180" i="3"/>
  <c r="D180" i="3"/>
  <c r="E179" i="3"/>
  <c r="D179" i="3"/>
  <c r="E178" i="3"/>
  <c r="D178" i="3"/>
  <c r="E177" i="3"/>
  <c r="D177" i="3"/>
  <c r="E176" i="3"/>
  <c r="D176" i="3"/>
  <c r="E175" i="3"/>
  <c r="D175" i="3"/>
  <c r="E174" i="3"/>
  <c r="D174" i="3"/>
  <c r="E173" i="3"/>
  <c r="D173" i="3"/>
  <c r="E172" i="3"/>
  <c r="D172" i="3"/>
  <c r="E171" i="3"/>
  <c r="D171" i="3"/>
  <c r="E170" i="3"/>
  <c r="D170" i="3"/>
  <c r="E169" i="3"/>
  <c r="D169" i="3"/>
  <c r="E168" i="3"/>
  <c r="D168" i="3"/>
  <c r="E167" i="3"/>
  <c r="D167" i="3"/>
  <c r="E166" i="3"/>
  <c r="D166" i="3"/>
  <c r="E165" i="3"/>
  <c r="D165" i="3"/>
  <c r="E164" i="3"/>
  <c r="D164" i="3"/>
  <c r="E163" i="3"/>
  <c r="D163" i="3"/>
  <c r="E162" i="3"/>
  <c r="D162" i="3"/>
  <c r="E161" i="3"/>
  <c r="D161" i="3"/>
  <c r="E160" i="3"/>
  <c r="D160" i="3"/>
  <c r="E159" i="3"/>
  <c r="D159" i="3"/>
  <c r="E158" i="3"/>
  <c r="D158" i="3"/>
  <c r="E157" i="3"/>
  <c r="D157" i="3"/>
  <c r="E156" i="3"/>
  <c r="D156" i="3"/>
  <c r="E155" i="3"/>
  <c r="D155" i="3"/>
  <c r="E154" i="3"/>
  <c r="D154" i="3"/>
  <c r="E153" i="3"/>
  <c r="D153" i="3"/>
  <c r="E152" i="3"/>
  <c r="D152" i="3"/>
  <c r="E151" i="3"/>
  <c r="D151" i="3"/>
  <c r="E150" i="3"/>
  <c r="D150" i="3"/>
  <c r="E149" i="3"/>
  <c r="D149" i="3"/>
  <c r="E148" i="3"/>
  <c r="D148" i="3"/>
  <c r="E147" i="3"/>
  <c r="D147" i="3"/>
  <c r="E146" i="3"/>
  <c r="D146" i="3"/>
  <c r="E145" i="3"/>
  <c r="D145" i="3"/>
  <c r="E144" i="3"/>
  <c r="D144" i="3"/>
  <c r="E143" i="3"/>
  <c r="D143" i="3"/>
  <c r="E142" i="3"/>
  <c r="D142" i="3"/>
  <c r="E141" i="3"/>
  <c r="D141" i="3"/>
  <c r="E140" i="3"/>
  <c r="D140" i="3"/>
  <c r="E139" i="3"/>
  <c r="D139" i="3"/>
  <c r="E138" i="3"/>
  <c r="D138" i="3"/>
  <c r="E137" i="3"/>
  <c r="D137" i="3"/>
  <c r="E136" i="3"/>
  <c r="D136" i="3"/>
  <c r="E135" i="3"/>
  <c r="D135" i="3"/>
  <c r="E134" i="3"/>
  <c r="D134" i="3"/>
  <c r="E133" i="3"/>
  <c r="D133" i="3"/>
  <c r="E132" i="3"/>
  <c r="D132" i="3"/>
  <c r="E131" i="3"/>
  <c r="D131" i="3"/>
  <c r="E130" i="3"/>
  <c r="D130" i="3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248" i="2"/>
  <c r="D248" i="2"/>
  <c r="E247" i="2"/>
  <c r="D247" i="2"/>
  <c r="E246" i="2"/>
  <c r="D246" i="2"/>
  <c r="E245" i="2"/>
  <c r="D245" i="2"/>
  <c r="E244" i="2"/>
  <c r="D244" i="2"/>
  <c r="E243" i="2"/>
  <c r="D243" i="2"/>
  <c r="E242" i="2"/>
  <c r="D242" i="2"/>
  <c r="E241" i="2"/>
  <c r="D241" i="2"/>
  <c r="E240" i="2"/>
  <c r="D240" i="2"/>
  <c r="E239" i="2"/>
  <c r="D239" i="2"/>
  <c r="E238" i="2"/>
  <c r="D238" i="2"/>
  <c r="E237" i="2"/>
  <c r="D237" i="2"/>
  <c r="E236" i="2"/>
  <c r="D236" i="2"/>
  <c r="E235" i="2"/>
  <c r="D235" i="2"/>
  <c r="E234" i="2"/>
  <c r="D234" i="2"/>
  <c r="E233" i="2"/>
  <c r="D233" i="2"/>
  <c r="E232" i="2"/>
  <c r="D232" i="2"/>
  <c r="E231" i="2"/>
  <c r="D231" i="2"/>
  <c r="E230" i="2"/>
  <c r="D230" i="2"/>
  <c r="E229" i="2"/>
  <c r="D229" i="2"/>
  <c r="E228" i="2"/>
  <c r="D228" i="2"/>
  <c r="E227" i="2"/>
  <c r="D227" i="2"/>
  <c r="E226" i="2"/>
  <c r="D226" i="2"/>
  <c r="E225" i="2"/>
  <c r="D225" i="2"/>
  <c r="E224" i="2"/>
  <c r="D224" i="2"/>
  <c r="E223" i="2"/>
  <c r="D223" i="2"/>
  <c r="E222" i="2"/>
  <c r="D222" i="2"/>
  <c r="E221" i="2"/>
  <c r="D221" i="2"/>
  <c r="E220" i="2"/>
  <c r="D220" i="2"/>
  <c r="E219" i="2"/>
  <c r="D219" i="2"/>
  <c r="E218" i="2"/>
  <c r="D218" i="2"/>
  <c r="E217" i="2"/>
  <c r="D217" i="2"/>
  <c r="E216" i="2"/>
  <c r="D216" i="2"/>
  <c r="E215" i="2"/>
  <c r="D215" i="2"/>
  <c r="E214" i="2"/>
  <c r="D214" i="2"/>
  <c r="E213" i="2"/>
  <c r="D213" i="2"/>
  <c r="E212" i="2"/>
  <c r="D212" i="2"/>
  <c r="E211" i="2"/>
  <c r="D211" i="2"/>
  <c r="E210" i="2"/>
  <c r="D210" i="2"/>
  <c r="E209" i="2"/>
  <c r="D209" i="2"/>
  <c r="E208" i="2"/>
  <c r="D208" i="2"/>
  <c r="E207" i="2"/>
  <c r="D207" i="2"/>
  <c r="E206" i="2"/>
  <c r="D206" i="2"/>
  <c r="E205" i="2"/>
  <c r="D205" i="2"/>
  <c r="E204" i="2"/>
  <c r="D204" i="2"/>
  <c r="E203" i="2"/>
  <c r="D203" i="2"/>
  <c r="E202" i="2"/>
  <c r="D202" i="2"/>
  <c r="E201" i="2"/>
  <c r="D201" i="2"/>
  <c r="E200" i="2"/>
  <c r="D200" i="2"/>
  <c r="E199" i="2"/>
  <c r="D199" i="2"/>
  <c r="E198" i="2"/>
  <c r="D198" i="2"/>
  <c r="E197" i="2"/>
  <c r="D197" i="2"/>
  <c r="E196" i="2"/>
  <c r="D196" i="2"/>
  <c r="E195" i="2"/>
  <c r="D195" i="2"/>
  <c r="E194" i="2"/>
  <c r="D194" i="2"/>
  <c r="E193" i="2"/>
  <c r="D193" i="2"/>
  <c r="E192" i="2"/>
  <c r="D192" i="2"/>
  <c r="E191" i="2"/>
  <c r="D191" i="2"/>
  <c r="E190" i="2"/>
  <c r="D190" i="2"/>
  <c r="E189" i="2"/>
  <c r="D189" i="2"/>
  <c r="E188" i="2"/>
  <c r="D188" i="2"/>
  <c r="E187" i="2"/>
  <c r="D187" i="2"/>
  <c r="E186" i="2"/>
  <c r="D186" i="2"/>
  <c r="E185" i="2"/>
  <c r="D185" i="2"/>
  <c r="E184" i="2"/>
  <c r="D184" i="2"/>
  <c r="E183" i="2"/>
  <c r="D183" i="2"/>
  <c r="E182" i="2"/>
  <c r="D182" i="2"/>
  <c r="E181" i="2"/>
  <c r="D181" i="2"/>
  <c r="E180" i="2"/>
  <c r="D180" i="2"/>
  <c r="E179" i="2"/>
  <c r="D179" i="2"/>
  <c r="E178" i="2"/>
  <c r="D178" i="2"/>
  <c r="E177" i="2"/>
  <c r="D177" i="2"/>
  <c r="E176" i="2"/>
  <c r="D176" i="2"/>
  <c r="E175" i="2"/>
  <c r="D175" i="2"/>
  <c r="E174" i="2"/>
  <c r="D174" i="2"/>
  <c r="E173" i="2"/>
  <c r="D173" i="2"/>
  <c r="E172" i="2"/>
  <c r="D172" i="2"/>
  <c r="E171" i="2"/>
  <c r="D171" i="2"/>
  <c r="E170" i="2"/>
  <c r="D170" i="2"/>
  <c r="E169" i="2"/>
  <c r="D169" i="2"/>
  <c r="E168" i="2"/>
  <c r="D168" i="2"/>
  <c r="E167" i="2"/>
  <c r="D167" i="2"/>
  <c r="E166" i="2"/>
  <c r="D166" i="2"/>
  <c r="E165" i="2"/>
  <c r="D165" i="2"/>
  <c r="E164" i="2"/>
  <c r="D164" i="2"/>
  <c r="E163" i="2"/>
  <c r="D163" i="2"/>
  <c r="E162" i="2"/>
  <c r="D162" i="2"/>
  <c r="E161" i="2"/>
  <c r="D161" i="2"/>
  <c r="E160" i="2"/>
  <c r="D160" i="2"/>
  <c r="E159" i="2"/>
  <c r="D159" i="2"/>
  <c r="E158" i="2"/>
  <c r="D158" i="2"/>
  <c r="E157" i="2"/>
  <c r="D157" i="2"/>
  <c r="E156" i="2"/>
  <c r="D156" i="2"/>
  <c r="E155" i="2"/>
  <c r="D155" i="2"/>
  <c r="E154" i="2"/>
  <c r="D154" i="2"/>
  <c r="E153" i="2"/>
  <c r="D153" i="2"/>
  <c r="E152" i="2"/>
  <c r="D152" i="2"/>
  <c r="E151" i="2"/>
  <c r="D151" i="2"/>
  <c r="E150" i="2"/>
  <c r="D150" i="2"/>
  <c r="E149" i="2"/>
  <c r="D149" i="2"/>
  <c r="E148" i="2"/>
  <c r="D148" i="2"/>
  <c r="E147" i="2"/>
  <c r="D147" i="2"/>
  <c r="E146" i="2"/>
  <c r="D146" i="2"/>
  <c r="E145" i="2"/>
  <c r="D145" i="2"/>
  <c r="E144" i="2"/>
  <c r="D144" i="2"/>
  <c r="E143" i="2"/>
  <c r="D143" i="2"/>
  <c r="E142" i="2"/>
  <c r="D142" i="2"/>
  <c r="E141" i="2"/>
  <c r="D141" i="2"/>
  <c r="E140" i="2"/>
  <c r="D140" i="2"/>
  <c r="E139" i="2"/>
  <c r="D139" i="2"/>
  <c r="E138" i="2"/>
  <c r="D138" i="2"/>
  <c r="E137" i="2"/>
  <c r="D137" i="2"/>
  <c r="E136" i="2"/>
  <c r="D136" i="2"/>
  <c r="E135" i="2"/>
  <c r="D135" i="2"/>
  <c r="E134" i="2"/>
  <c r="D134" i="2"/>
  <c r="E133" i="2"/>
  <c r="D133" i="2"/>
  <c r="E132" i="2"/>
  <c r="D132" i="2"/>
  <c r="E131" i="2"/>
  <c r="D131" i="2"/>
  <c r="E130" i="2"/>
  <c r="D130" i="2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R2" i="6" l="1"/>
  <c r="N3" i="6"/>
  <c r="F3" i="6"/>
  <c r="Q2" i="6"/>
  <c r="F3" i="5"/>
  <c r="J13" i="4"/>
  <c r="J9" i="4"/>
  <c r="J5" i="4"/>
  <c r="J4" i="4"/>
  <c r="J3" i="4"/>
  <c r="J2" i="4"/>
  <c r="F3" i="3"/>
  <c r="N5" i="6" l="1"/>
  <c r="N6" i="6"/>
  <c r="N4" i="6"/>
  <c r="N6" i="5"/>
  <c r="N3" i="5"/>
  <c r="R2" i="4"/>
  <c r="F3" i="4"/>
  <c r="Q2" i="4"/>
  <c r="Q2" i="3"/>
  <c r="N5" i="3" s="1"/>
  <c r="N3" i="3"/>
  <c r="R2" i="2"/>
  <c r="N4" i="5" l="1"/>
  <c r="N5" i="5"/>
  <c r="N5" i="4"/>
  <c r="N6" i="4"/>
  <c r="N4" i="4"/>
  <c r="N6" i="3"/>
  <c r="N4" i="3"/>
  <c r="N6" i="2" l="1"/>
</calcChain>
</file>

<file path=xl/sharedStrings.xml><?xml version="1.0" encoding="utf-8"?>
<sst xmlns="http://schemas.openxmlformats.org/spreadsheetml/2006/main" count="166" uniqueCount="49">
  <si>
    <t>DATE</t>
  </si>
  <si>
    <t>NAV</t>
  </si>
  <si>
    <t>D RETURN</t>
  </si>
  <si>
    <t>1 Month</t>
  </si>
  <si>
    <t>2 Month</t>
  </si>
  <si>
    <t>3 Month</t>
  </si>
  <si>
    <t>4 Month</t>
  </si>
  <si>
    <t>5 Month</t>
  </si>
  <si>
    <t>6 Month</t>
  </si>
  <si>
    <t>7 Month</t>
  </si>
  <si>
    <t>8 Month</t>
  </si>
  <si>
    <t>9 Month</t>
  </si>
  <si>
    <t>10 Month</t>
  </si>
  <si>
    <t>11 Month</t>
  </si>
  <si>
    <t>12 Month</t>
  </si>
  <si>
    <t>Annualised return</t>
  </si>
  <si>
    <t>Standard deviation</t>
  </si>
  <si>
    <t>Sharpe ratio</t>
  </si>
  <si>
    <t>AVERAGE</t>
  </si>
  <si>
    <t xml:space="preserve">Risk free </t>
  </si>
  <si>
    <t>Treynor ratio</t>
  </si>
  <si>
    <t>Jensen's alpha</t>
  </si>
  <si>
    <t>Nifty Return</t>
  </si>
  <si>
    <t>MF</t>
  </si>
  <si>
    <t>NIFTY</t>
  </si>
  <si>
    <t>BETA</t>
  </si>
  <si>
    <t>MONTH</t>
  </si>
  <si>
    <t>N RETURN</t>
  </si>
  <si>
    <t>Fund Name</t>
  </si>
  <si>
    <t>Sharpe Ratio</t>
  </si>
  <si>
    <t>Risk-Adjusted Rank</t>
  </si>
  <si>
    <t>1 (BEST)</t>
  </si>
  <si>
    <t>5 (WORST)</t>
  </si>
  <si>
    <t>Average Return</t>
  </si>
  <si>
    <t>BSE Arbitrage Fund</t>
  </si>
  <si>
    <t>BSE Return</t>
  </si>
  <si>
    <t>BSE</t>
  </si>
  <si>
    <t>Nifty Next 50</t>
  </si>
  <si>
    <t>Nifty 100</t>
  </si>
  <si>
    <t>Nifty 200</t>
  </si>
  <si>
    <t>10 Year BOND Yield</t>
  </si>
  <si>
    <t>Tata Arbitrage Fund</t>
  </si>
  <si>
    <t>Edelweiss Liquid fund</t>
  </si>
  <si>
    <t xml:space="preserve">HDFC NIFTY Next 50 Index Fund </t>
  </si>
  <si>
    <t xml:space="preserve">Canara Robeco Large Cap Fund </t>
  </si>
  <si>
    <t xml:space="preserve">SBI Balanced Advantage Fund </t>
  </si>
  <si>
    <t>Treynor Ratio</t>
  </si>
  <si>
    <t>Standard Deviation</t>
  </si>
  <si>
    <t>Annualised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</si>
</sst>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Times New Roman"/>
      <family val="1"/>
    </font>
    <font>
      <sz val="8"/>
      <color rgb="FF000000"/>
      <name val="MyFirstFont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7"/>
      <color rgb="FF666666"/>
      <name val="Arial"/>
      <family val="2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9DFCD"/>
      </left>
      <right style="medium">
        <color rgb="FFE9DFCD"/>
      </right>
      <top style="medium">
        <color rgb="FFE9DFCD"/>
      </top>
      <bottom style="medium">
        <color rgb="FFE9DFCD"/>
      </bottom>
      <diagonal/>
    </border>
    <border>
      <left style="medium">
        <color rgb="FFE9DFCD"/>
      </left>
      <right style="medium">
        <color rgb="FFE9DFCD"/>
      </right>
      <top style="medium">
        <color rgb="FFDDDDDD"/>
      </top>
      <bottom style="medium">
        <color rgb="FFE9DFC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E9DFCD"/>
      </left>
      <right style="medium">
        <color rgb="FFE9DFCD"/>
      </right>
      <top/>
      <bottom style="medium">
        <color rgb="FFE9DFCD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2" fontId="0" fillId="0" borderId="0" xfId="0" applyNumberFormat="1"/>
    <xf numFmtId="10" fontId="0" fillId="0" borderId="0" xfId="1" applyNumberFormat="1" applyFont="1" applyBorder="1"/>
    <xf numFmtId="0" fontId="0" fillId="3" borderId="0" xfId="0" applyFill="1"/>
    <xf numFmtId="0" fontId="3" fillId="4" borderId="0" xfId="0" applyFont="1" applyFill="1" applyAlignment="1">
      <alignment horizontal="left" vertical="center" wrapText="1"/>
    </xf>
    <xf numFmtId="0" fontId="0" fillId="0" borderId="0" xfId="0" applyAlignment="1">
      <alignment horizontal="center"/>
    </xf>
    <xf numFmtId="4" fontId="5" fillId="6" borderId="0" xfId="0" applyNumberFormat="1" applyFont="1" applyFill="1" applyAlignment="1">
      <alignment horizontal="center" vertical="center" wrapText="1"/>
    </xf>
    <xf numFmtId="14" fontId="4" fillId="5" borderId="1" xfId="0" applyNumberFormat="1" applyFont="1" applyFill="1" applyBorder="1" applyAlignment="1">
      <alignment vertical="top" wrapText="1" indent="1"/>
    </xf>
    <xf numFmtId="0" fontId="4" fillId="5" borderId="1" xfId="0" applyFont="1" applyFill="1" applyBorder="1" applyAlignment="1">
      <alignment vertical="top" wrapText="1" indent="1"/>
    </xf>
    <xf numFmtId="14" fontId="4" fillId="6" borderId="1" xfId="0" applyNumberFormat="1" applyFont="1" applyFill="1" applyBorder="1" applyAlignment="1">
      <alignment vertical="top" wrapText="1" indent="1"/>
    </xf>
    <xf numFmtId="0" fontId="4" fillId="6" borderId="1" xfId="0" applyFont="1" applyFill="1" applyBorder="1" applyAlignment="1">
      <alignment vertical="top" wrapText="1" indent="1"/>
    </xf>
    <xf numFmtId="0" fontId="4" fillId="0" borderId="1" xfId="0" applyFont="1" applyBorder="1"/>
    <xf numFmtId="10" fontId="4" fillId="0" borderId="1" xfId="1" applyNumberFormat="1" applyFont="1" applyBorder="1"/>
    <xf numFmtId="14" fontId="7" fillId="2" borderId="1" xfId="0" applyNumberFormat="1" applyFont="1" applyFill="1" applyBorder="1"/>
    <xf numFmtId="0" fontId="7" fillId="2" borderId="1" xfId="0" applyFont="1" applyFill="1" applyBorder="1"/>
    <xf numFmtId="14" fontId="8" fillId="5" borderId="3" xfId="0" applyNumberFormat="1" applyFont="1" applyFill="1" applyBorder="1" applyAlignment="1">
      <alignment vertical="top" wrapText="1" indent="1"/>
    </xf>
    <xf numFmtId="0" fontId="8" fillId="5" borderId="3" xfId="0" applyFont="1" applyFill="1" applyBorder="1" applyAlignment="1">
      <alignment vertical="top" wrapText="1" indent="1"/>
    </xf>
    <xf numFmtId="14" fontId="8" fillId="6" borderId="3" xfId="0" applyNumberFormat="1" applyFont="1" applyFill="1" applyBorder="1" applyAlignment="1">
      <alignment vertical="top" wrapText="1" indent="1"/>
    </xf>
    <xf numFmtId="0" fontId="8" fillId="6" borderId="3" xfId="0" applyFont="1" applyFill="1" applyBorder="1" applyAlignment="1">
      <alignment vertical="top" wrapText="1" indent="1"/>
    </xf>
    <xf numFmtId="14" fontId="8" fillId="6" borderId="2" xfId="0" applyNumberFormat="1" applyFont="1" applyFill="1" applyBorder="1" applyAlignment="1">
      <alignment vertical="top" wrapText="1" indent="1"/>
    </xf>
    <xf numFmtId="0" fontId="8" fillId="6" borderId="2" xfId="0" applyFont="1" applyFill="1" applyBorder="1" applyAlignment="1">
      <alignment vertical="top" wrapText="1" indent="1"/>
    </xf>
    <xf numFmtId="14" fontId="8" fillId="5" borderId="2" xfId="0" applyNumberFormat="1" applyFont="1" applyFill="1" applyBorder="1" applyAlignment="1">
      <alignment vertical="top" wrapText="1" indent="1"/>
    </xf>
    <xf numFmtId="0" fontId="8" fillId="5" borderId="2" xfId="0" applyFont="1" applyFill="1" applyBorder="1" applyAlignment="1">
      <alignment vertical="top" wrapText="1" indent="1"/>
    </xf>
    <xf numFmtId="0" fontId="0" fillId="0" borderId="5" xfId="0" applyBorder="1"/>
    <xf numFmtId="10" fontId="0" fillId="0" borderId="5" xfId="1" applyNumberFormat="1" applyFont="1" applyBorder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6" xfId="0" applyFont="1" applyBorder="1"/>
    <xf numFmtId="14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2" fontId="4" fillId="0" borderId="1" xfId="0" applyNumberFormat="1" applyFont="1" applyBorder="1"/>
    <xf numFmtId="2" fontId="4" fillId="0" borderId="7" xfId="0" applyNumberFormat="1" applyFont="1" applyBorder="1"/>
    <xf numFmtId="164" fontId="4" fillId="5" borderId="1" xfId="0" applyNumberFormat="1" applyFont="1" applyFill="1" applyBorder="1" applyAlignment="1">
      <alignment vertical="top" wrapText="1" indent="1"/>
    </xf>
    <xf numFmtId="164" fontId="4" fillId="6" borderId="1" xfId="0" applyNumberFormat="1" applyFont="1" applyFill="1" applyBorder="1" applyAlignment="1">
      <alignment vertical="top" wrapText="1" indent="1"/>
    </xf>
    <xf numFmtId="0" fontId="4" fillId="2" borderId="1" xfId="0" applyFont="1" applyFill="1" applyBorder="1"/>
    <xf numFmtId="10" fontId="4" fillId="0" borderId="0" xfId="1" applyNumberFormat="1" applyFont="1" applyBorder="1"/>
    <xf numFmtId="10" fontId="4" fillId="0" borderId="0" xfId="1" applyNumberFormat="1" applyFont="1"/>
    <xf numFmtId="14" fontId="8" fillId="5" borderId="8" xfId="0" applyNumberFormat="1" applyFont="1" applyFill="1" applyBorder="1" applyAlignment="1">
      <alignment vertical="top" wrapText="1" indent="1"/>
    </xf>
    <xf numFmtId="0" fontId="8" fillId="5" borderId="8" xfId="0" applyFont="1" applyFill="1" applyBorder="1" applyAlignment="1">
      <alignment vertical="top" wrapText="1" indent="1"/>
    </xf>
    <xf numFmtId="2" fontId="4" fillId="5" borderId="1" xfId="0" applyNumberFormat="1" applyFont="1" applyFill="1" applyBorder="1" applyAlignment="1">
      <alignment vertical="top" wrapText="1" indent="1"/>
    </xf>
    <xf numFmtId="2" fontId="4" fillId="6" borderId="1" xfId="0" applyNumberFormat="1" applyFont="1" applyFill="1" applyBorder="1" applyAlignment="1">
      <alignment vertical="top" wrapText="1" indent="1"/>
    </xf>
    <xf numFmtId="14" fontId="4" fillId="0" borderId="0" xfId="0" applyNumberFormat="1" applyFont="1"/>
    <xf numFmtId="0" fontId="4" fillId="2" borderId="1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right"/>
    </xf>
    <xf numFmtId="2" fontId="4" fillId="5" borderId="1" xfId="0" applyNumberFormat="1" applyFont="1" applyFill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2" fontId="4" fillId="6" borderId="1" xfId="0" applyNumberFormat="1" applyFont="1" applyFill="1" applyBorder="1" applyAlignment="1">
      <alignment horizontal="right" vertical="top" wrapText="1"/>
    </xf>
    <xf numFmtId="10" fontId="4" fillId="0" borderId="1" xfId="1" applyNumberFormat="1" applyFont="1" applyBorder="1" applyAlignment="1">
      <alignment horizontal="right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4" fontId="6" fillId="6" borderId="1" xfId="0" applyNumberFormat="1" applyFont="1" applyFill="1" applyBorder="1" applyAlignment="1">
      <alignment horizontal="right" vertical="center" wrapText="1"/>
    </xf>
    <xf numFmtId="14" fontId="4" fillId="5" borderId="1" xfId="0" applyNumberFormat="1" applyFont="1" applyFill="1" applyBorder="1" applyAlignment="1">
      <alignment horizontal="right" vertical="center" wrapText="1" indent="1"/>
    </xf>
    <xf numFmtId="0" fontId="4" fillId="5" borderId="1" xfId="0" applyFont="1" applyFill="1" applyBorder="1" applyAlignment="1">
      <alignment horizontal="right" vertical="center" wrapText="1" indent="1"/>
    </xf>
    <xf numFmtId="0" fontId="4" fillId="0" borderId="1" xfId="0" applyFont="1" applyBorder="1" applyAlignment="1">
      <alignment horizontal="right" vertical="center"/>
    </xf>
    <xf numFmtId="14" fontId="4" fillId="6" borderId="1" xfId="0" applyNumberFormat="1" applyFont="1" applyFill="1" applyBorder="1" applyAlignment="1">
      <alignment horizontal="right" vertical="center" wrapText="1" indent="1"/>
    </xf>
    <xf numFmtId="0" fontId="4" fillId="6" borderId="1" xfId="0" applyFont="1" applyFill="1" applyBorder="1" applyAlignment="1">
      <alignment horizontal="right" vertical="center" wrapText="1" indent="1"/>
    </xf>
    <xf numFmtId="10" fontId="4" fillId="0" borderId="1" xfId="1" applyNumberFormat="1" applyFont="1" applyBorder="1" applyAlignment="1">
      <alignment horizontal="right" vertical="center"/>
    </xf>
    <xf numFmtId="2" fontId="4" fillId="0" borderId="1" xfId="1" applyNumberFormat="1" applyFont="1" applyBorder="1"/>
    <xf numFmtId="0" fontId="4" fillId="0" borderId="1" xfId="1" applyNumberFormat="1" applyFont="1" applyBorder="1"/>
    <xf numFmtId="10" fontId="4" fillId="0" borderId="1" xfId="0" applyNumberFormat="1" applyFont="1" applyBorder="1"/>
    <xf numFmtId="0" fontId="4" fillId="3" borderId="0" xfId="0" applyFont="1" applyFill="1"/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7" fillId="4" borderId="1" xfId="0" applyFont="1" applyFill="1" applyBorder="1" applyAlignment="1">
      <alignment horizontal="left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0" fontId="7" fillId="4" borderId="1" xfId="1" applyNumberFormat="1" applyFont="1" applyFill="1" applyBorder="1" applyAlignment="1">
      <alignment horizontal="center" vertical="center" wrapText="1"/>
    </xf>
    <xf numFmtId="14" fontId="7" fillId="2" borderId="4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2" fontId="4" fillId="4" borderId="1" xfId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ln>
                <a:noFill/>
              </a:ln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M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KPI!$C$2</c:f>
              <c:strCache>
                <c:ptCount val="1"/>
                <c:pt idx="0">
                  <c:v>Average Return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KPI!$B$3:$B$7</c:f>
              <c:strCache>
                <c:ptCount val="5"/>
                <c:pt idx="0">
                  <c:v>SBI Balanced Advantage Fund </c:v>
                </c:pt>
                <c:pt idx="1">
                  <c:v>Tata Arbitrage Fund</c:v>
                </c:pt>
                <c:pt idx="2">
                  <c:v>Canara Robeco Large Cap Fund </c:v>
                </c:pt>
                <c:pt idx="3">
                  <c:v>Edelweiss Liquid fund</c:v>
                </c:pt>
                <c:pt idx="4">
                  <c:v>HDFC NIFTY Next 50 Index Fund </c:v>
                </c:pt>
              </c:strCache>
            </c:strRef>
          </c:cat>
          <c:val>
            <c:numRef>
              <c:f>KPI!$C$3:$C$7</c:f>
              <c:numCache>
                <c:formatCode>0.00%</c:formatCode>
                <c:ptCount val="5"/>
                <c:pt idx="0">
                  <c:v>2.806661995717576E-2</c:v>
                </c:pt>
                <c:pt idx="1">
                  <c:v>4.0336686370078534E-2</c:v>
                </c:pt>
                <c:pt idx="2">
                  <c:v>6.2774861682508946E-3</c:v>
                </c:pt>
                <c:pt idx="3">
                  <c:v>3.7259367332387619E-2</c:v>
                </c:pt>
                <c:pt idx="4">
                  <c:v>-7.283981642702865E-2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7-4E1D-B279-BEC36515E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49873023"/>
        <c:axId val="1549861023"/>
      </c:barChart>
      <c:catAx>
        <c:axId val="1549873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1549861023"/>
        <c:crosses val="autoZero"/>
        <c:auto val="1"/>
        <c:lblAlgn val="ctr"/>
        <c:lblOffset val="100"/>
        <c:noMultiLvlLbl val="0"/>
      </c:catAx>
      <c:valAx>
        <c:axId val="154986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154987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n>
            <a:noFill/>
          </a:ln>
        </a:defRPr>
      </a:pPr>
      <a:endParaRPr lang="en-IM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M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KPI!$D$2</c:f>
              <c:strCache>
                <c:ptCount val="1"/>
                <c:pt idx="0">
                  <c:v>BETA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KPI!$B$3:$B$7</c:f>
              <c:strCache>
                <c:ptCount val="5"/>
                <c:pt idx="0">
                  <c:v>SBI Balanced Advantage Fund </c:v>
                </c:pt>
                <c:pt idx="1">
                  <c:v>Tata Arbitrage Fund</c:v>
                </c:pt>
                <c:pt idx="2">
                  <c:v>Canara Robeco Large Cap Fund </c:v>
                </c:pt>
                <c:pt idx="3">
                  <c:v>Edelweiss Liquid fund</c:v>
                </c:pt>
                <c:pt idx="4">
                  <c:v>HDFC NIFTY Next 50 Index Fund </c:v>
                </c:pt>
              </c:strCache>
            </c:strRef>
          </c:xVal>
          <c:yVal>
            <c:numRef>
              <c:f>KPI!$D$3:$D$7</c:f>
              <c:numCache>
                <c:formatCode>0.00</c:formatCode>
                <c:ptCount val="5"/>
                <c:pt idx="0">
                  <c:v>0.47444578046398889</c:v>
                </c:pt>
                <c:pt idx="1">
                  <c:v>0.10612092887433033</c:v>
                </c:pt>
                <c:pt idx="2">
                  <c:v>0.82001956263139764</c:v>
                </c:pt>
                <c:pt idx="3">
                  <c:v>-6.7060662774400294E-3</c:v>
                </c:pt>
                <c:pt idx="4">
                  <c:v>0.83109156493585712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42-49C6-85E6-D51A498F6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581711"/>
        <c:axId val="1474591791"/>
      </c:scatterChart>
      <c:valAx>
        <c:axId val="147458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1474591791"/>
        <c:crosses val="autoZero"/>
        <c:crossBetween val="midCat"/>
      </c:valAx>
      <c:valAx>
        <c:axId val="147459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147458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IM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M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KPI!$H$2</c:f>
              <c:strCache>
                <c:ptCount val="1"/>
                <c:pt idx="0">
                  <c:v>Treynor Ratio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KPI!$B$3:$B$7</c:f>
              <c:strCache>
                <c:ptCount val="5"/>
                <c:pt idx="0">
                  <c:v>SBI Balanced Advantage Fund </c:v>
                </c:pt>
                <c:pt idx="1">
                  <c:v>Tata Arbitrage Fund</c:v>
                </c:pt>
                <c:pt idx="2">
                  <c:v>Canara Robeco Large Cap Fund </c:v>
                </c:pt>
                <c:pt idx="3">
                  <c:v>Edelweiss Liquid fund</c:v>
                </c:pt>
                <c:pt idx="4">
                  <c:v>HDFC NIFTY Next 50 Index Fund </c:v>
                </c:pt>
              </c:strCache>
            </c:strRef>
          </c:cat>
          <c:val>
            <c:numRef>
              <c:f>KPI!$H$3:$H$7</c:f>
              <c:numCache>
                <c:formatCode>0.00</c:formatCode>
                <c:ptCount val="5"/>
                <c:pt idx="0">
                  <c:v>-6.7306700486607085E-2</c:v>
                </c:pt>
                <c:pt idx="1">
                  <c:v>-0.18529157102655022</c:v>
                </c:pt>
                <c:pt idx="2">
                  <c:v>-6.5513697818813624E-2</c:v>
                </c:pt>
                <c:pt idx="3">
                  <c:v>3.3910539691673578</c:v>
                </c:pt>
                <c:pt idx="4">
                  <c:v>-0.15983776280689491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1-4B02-BF25-ED75EE978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11578863"/>
        <c:axId val="1611575983"/>
      </c:barChart>
      <c:catAx>
        <c:axId val="1611578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1611575983"/>
        <c:crosses val="autoZero"/>
        <c:auto val="1"/>
        <c:lblAlgn val="ctr"/>
        <c:lblOffset val="100"/>
        <c:noMultiLvlLbl val="0"/>
      </c:catAx>
      <c:valAx>
        <c:axId val="1611575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161157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IM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Jensen's 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M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KPI!$I$2</c:f>
              <c:strCache>
                <c:ptCount val="1"/>
                <c:pt idx="0">
                  <c:v>Jensen's alpha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KPI!$B$3:$B$7</c:f>
              <c:strCache>
                <c:ptCount val="5"/>
                <c:pt idx="0">
                  <c:v>SBI Balanced Advantage Fund </c:v>
                </c:pt>
                <c:pt idx="1">
                  <c:v>Tata Arbitrage Fund</c:v>
                </c:pt>
                <c:pt idx="2">
                  <c:v>Canara Robeco Large Cap Fund </c:v>
                </c:pt>
                <c:pt idx="3">
                  <c:v>Edelweiss Liquid fund</c:v>
                </c:pt>
                <c:pt idx="4">
                  <c:v>HDFC NIFTY Next 50 Index Fund </c:v>
                </c:pt>
              </c:strCache>
            </c:strRef>
          </c:cat>
          <c:val>
            <c:numRef>
              <c:f>KPI!$I$3:$I$7</c:f>
              <c:numCache>
                <c:formatCode>0.00%</c:formatCode>
                <c:ptCount val="5"/>
                <c:pt idx="0">
                  <c:v>7.7936704504317708E-4</c:v>
                </c:pt>
                <c:pt idx="1">
                  <c:v>-1.8084851662619118E-2</c:v>
                </c:pt>
                <c:pt idx="2">
                  <c:v>1.149309892705154E-4</c:v>
                </c:pt>
                <c:pt idx="3">
                  <c:v>-2.3335133938124329E-2</c:v>
                </c:pt>
                <c:pt idx="4">
                  <c:v>-2.3483649734758569E-2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C-4222-9C21-7FA0735E1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34288287"/>
        <c:axId val="1634305087"/>
      </c:barChart>
      <c:catAx>
        <c:axId val="1634288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1634305087"/>
        <c:crosses val="autoZero"/>
        <c:auto val="1"/>
        <c:lblAlgn val="ctr"/>
        <c:lblOffset val="100"/>
        <c:noMultiLvlLbl val="0"/>
      </c:catAx>
      <c:valAx>
        <c:axId val="163430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163428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IM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Annualised &amp;STD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M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KPI!$E$2</c:f>
              <c:strCache>
                <c:ptCount val="1"/>
                <c:pt idx="0">
                  <c:v>Annualised Return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KPI!$B$3:$B$7</c:f>
              <c:strCache>
                <c:ptCount val="5"/>
                <c:pt idx="0">
                  <c:v>SBI Balanced Advantage Fund </c:v>
                </c:pt>
                <c:pt idx="1">
                  <c:v>Tata Arbitrage Fund</c:v>
                </c:pt>
                <c:pt idx="2">
                  <c:v>Canara Robeco Large Cap Fund </c:v>
                </c:pt>
                <c:pt idx="3">
                  <c:v>Edelweiss Liquid fund</c:v>
                </c:pt>
                <c:pt idx="4">
                  <c:v>HDFC NIFTY Next 50 Index Fund </c:v>
                </c:pt>
              </c:strCache>
            </c:strRef>
          </c:cat>
          <c:val>
            <c:numRef>
              <c:f>KPI!$E$3:$E$7</c:f>
              <c:numCache>
                <c:formatCode>0.00%</c:formatCode>
                <c:ptCount val="5"/>
                <c:pt idx="0">
                  <c:v>9.2190129455136161E-2</c:v>
                </c:pt>
                <c:pt idx="1">
                  <c:v>7.1706592001106184E-2</c:v>
                </c:pt>
                <c:pt idx="2">
                  <c:v>7.5613562207405227E-2</c:v>
                </c:pt>
                <c:pt idx="3">
                  <c:v>6.6520125235721483E-2</c:v>
                </c:pt>
                <c:pt idx="4">
                  <c:v>-2.5100671944090602E-2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2-4259-96F6-4736833D8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34381407"/>
        <c:axId val="1634389087"/>
      </c:barChart>
      <c:lineChart>
        <c:grouping val="standard"/>
        <c:varyColors val="0"/>
        <c:ser>
          <c:idx val="1"/>
          <c:order val="1"/>
          <c:tx>
            <c:strRef>
              <c:f>KPI!$F$2</c:f>
              <c:strCache>
                <c:ptCount val="1"/>
                <c:pt idx="0">
                  <c:v>Standard Deviation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KPI!$B$3:$B$7</c:f>
              <c:strCache>
                <c:ptCount val="5"/>
                <c:pt idx="0">
                  <c:v>SBI Balanced Advantage Fund </c:v>
                </c:pt>
                <c:pt idx="1">
                  <c:v>Tata Arbitrage Fund</c:v>
                </c:pt>
                <c:pt idx="2">
                  <c:v>Canara Robeco Large Cap Fund </c:v>
                </c:pt>
                <c:pt idx="3">
                  <c:v>Edelweiss Liquid fund</c:v>
                </c:pt>
                <c:pt idx="4">
                  <c:v>HDFC NIFTY Next 50 Index Fund </c:v>
                </c:pt>
              </c:strCache>
            </c:strRef>
          </c:cat>
          <c:val>
            <c:numRef>
              <c:f>KPI!$F$3:$F$7</c:f>
              <c:numCache>
                <c:formatCode>0.00%</c:formatCode>
                <c:ptCount val="5"/>
                <c:pt idx="0">
                  <c:v>3.8988833789710749E-2</c:v>
                </c:pt>
                <c:pt idx="1">
                  <c:v>2.1402679782817374E-2</c:v>
                </c:pt>
                <c:pt idx="2">
                  <c:v>4.8761496958593928E-2</c:v>
                </c:pt>
                <c:pt idx="3">
                  <c:v>2.0074324287481609E-2</c:v>
                </c:pt>
                <c:pt idx="4">
                  <c:v>5.1424236154983406E-2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2-4259-96F6-4736833D8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4381407"/>
        <c:axId val="1634389087"/>
      </c:lineChart>
      <c:catAx>
        <c:axId val="163438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1634389087"/>
        <c:crosses val="autoZero"/>
        <c:auto val="1"/>
        <c:lblAlgn val="ctr"/>
        <c:lblOffset val="100"/>
        <c:noMultiLvlLbl val="0"/>
      </c:catAx>
      <c:valAx>
        <c:axId val="163438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163438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IM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ln>
                <a:noFill/>
              </a:ln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M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KPI!$C$2</c:f>
              <c:strCache>
                <c:ptCount val="1"/>
                <c:pt idx="0">
                  <c:v>Average Return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KPI!$B$3:$B$7</c:f>
              <c:strCache>
                <c:ptCount val="5"/>
                <c:pt idx="0">
                  <c:v>SBI Balanced Advantage Fund </c:v>
                </c:pt>
                <c:pt idx="1">
                  <c:v>Tata Arbitrage Fund</c:v>
                </c:pt>
                <c:pt idx="2">
                  <c:v>Canara Robeco Large Cap Fund </c:v>
                </c:pt>
                <c:pt idx="3">
                  <c:v>Edelweiss Liquid fund</c:v>
                </c:pt>
                <c:pt idx="4">
                  <c:v>HDFC NIFTY Next 50 Index Fund </c:v>
                </c:pt>
              </c:strCache>
            </c:strRef>
          </c:cat>
          <c:val>
            <c:numRef>
              <c:f>KPI!$C$3:$C$7</c:f>
              <c:numCache>
                <c:formatCode>0.00%</c:formatCode>
                <c:ptCount val="5"/>
                <c:pt idx="0">
                  <c:v>2.806661995717576E-2</c:v>
                </c:pt>
                <c:pt idx="1">
                  <c:v>4.0336686370078534E-2</c:v>
                </c:pt>
                <c:pt idx="2">
                  <c:v>6.2774861682508946E-3</c:v>
                </c:pt>
                <c:pt idx="3">
                  <c:v>3.7259367332387619E-2</c:v>
                </c:pt>
                <c:pt idx="4">
                  <c:v>-7.283981642702865E-2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1-4804-A216-CD3316572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49873023"/>
        <c:axId val="1549861023"/>
      </c:barChart>
      <c:catAx>
        <c:axId val="1549873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1549861023"/>
        <c:crosses val="autoZero"/>
        <c:auto val="1"/>
        <c:lblAlgn val="ctr"/>
        <c:lblOffset val="100"/>
        <c:noMultiLvlLbl val="0"/>
      </c:catAx>
      <c:valAx>
        <c:axId val="154986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154987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n>
            <a:noFill/>
          </a:ln>
        </a:defRPr>
      </a:pPr>
      <a:endParaRPr lang="en-IM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M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KPI!$D$2</c:f>
              <c:strCache>
                <c:ptCount val="1"/>
                <c:pt idx="0">
                  <c:v>BETA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KPI!$B$3:$B$7</c:f>
              <c:strCache>
                <c:ptCount val="5"/>
                <c:pt idx="0">
                  <c:v>SBI Balanced Advantage Fund </c:v>
                </c:pt>
                <c:pt idx="1">
                  <c:v>Tata Arbitrage Fund</c:v>
                </c:pt>
                <c:pt idx="2">
                  <c:v>Canara Robeco Large Cap Fund </c:v>
                </c:pt>
                <c:pt idx="3">
                  <c:v>Edelweiss Liquid fund</c:v>
                </c:pt>
                <c:pt idx="4">
                  <c:v>HDFC NIFTY Next 50 Index Fund </c:v>
                </c:pt>
              </c:strCache>
            </c:strRef>
          </c:xVal>
          <c:yVal>
            <c:numRef>
              <c:f>KPI!$D$3:$D$7</c:f>
              <c:numCache>
                <c:formatCode>0.00</c:formatCode>
                <c:ptCount val="5"/>
                <c:pt idx="0">
                  <c:v>0.47444578046398889</c:v>
                </c:pt>
                <c:pt idx="1">
                  <c:v>0.10612092887433033</c:v>
                </c:pt>
                <c:pt idx="2">
                  <c:v>0.82001956263139764</c:v>
                </c:pt>
                <c:pt idx="3">
                  <c:v>-6.7060662774400294E-3</c:v>
                </c:pt>
                <c:pt idx="4">
                  <c:v>0.83109156493585712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B3-423B-87B7-CE121B273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581711"/>
        <c:axId val="1474591791"/>
      </c:scatterChart>
      <c:valAx>
        <c:axId val="147458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1474591791"/>
        <c:crosses val="autoZero"/>
        <c:crossBetween val="midCat"/>
      </c:valAx>
      <c:valAx>
        <c:axId val="147459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147458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IM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M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KPI!$H$2</c:f>
              <c:strCache>
                <c:ptCount val="1"/>
                <c:pt idx="0">
                  <c:v>Treynor Ratio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KPI!$B$3:$B$7</c:f>
              <c:strCache>
                <c:ptCount val="5"/>
                <c:pt idx="0">
                  <c:v>SBI Balanced Advantage Fund </c:v>
                </c:pt>
                <c:pt idx="1">
                  <c:v>Tata Arbitrage Fund</c:v>
                </c:pt>
                <c:pt idx="2">
                  <c:v>Canara Robeco Large Cap Fund </c:v>
                </c:pt>
                <c:pt idx="3">
                  <c:v>Edelweiss Liquid fund</c:v>
                </c:pt>
                <c:pt idx="4">
                  <c:v>HDFC NIFTY Next 50 Index Fund </c:v>
                </c:pt>
              </c:strCache>
            </c:strRef>
          </c:cat>
          <c:val>
            <c:numRef>
              <c:f>KPI!$H$3:$H$7</c:f>
              <c:numCache>
                <c:formatCode>0.00</c:formatCode>
                <c:ptCount val="5"/>
                <c:pt idx="0">
                  <c:v>-6.7306700486607085E-2</c:v>
                </c:pt>
                <c:pt idx="1">
                  <c:v>-0.18529157102655022</c:v>
                </c:pt>
                <c:pt idx="2">
                  <c:v>-6.5513697818813624E-2</c:v>
                </c:pt>
                <c:pt idx="3">
                  <c:v>3.3910539691673578</c:v>
                </c:pt>
                <c:pt idx="4">
                  <c:v>-0.15983776280689491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4-4717-8F3E-72664D85F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11578863"/>
        <c:axId val="1611575983"/>
      </c:barChart>
      <c:catAx>
        <c:axId val="1611578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1611575983"/>
        <c:crosses val="autoZero"/>
        <c:auto val="1"/>
        <c:lblAlgn val="ctr"/>
        <c:lblOffset val="100"/>
        <c:noMultiLvlLbl val="0"/>
      </c:catAx>
      <c:valAx>
        <c:axId val="1611575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161157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IM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Jensen's 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M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KPI!$I$2</c:f>
              <c:strCache>
                <c:ptCount val="1"/>
                <c:pt idx="0">
                  <c:v>Jensen's alpha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KPI!$B$3:$B$7</c:f>
              <c:strCache>
                <c:ptCount val="5"/>
                <c:pt idx="0">
                  <c:v>SBI Balanced Advantage Fund </c:v>
                </c:pt>
                <c:pt idx="1">
                  <c:v>Tata Arbitrage Fund</c:v>
                </c:pt>
                <c:pt idx="2">
                  <c:v>Canara Robeco Large Cap Fund </c:v>
                </c:pt>
                <c:pt idx="3">
                  <c:v>Edelweiss Liquid fund</c:v>
                </c:pt>
                <c:pt idx="4">
                  <c:v>HDFC NIFTY Next 50 Index Fund </c:v>
                </c:pt>
              </c:strCache>
            </c:strRef>
          </c:cat>
          <c:val>
            <c:numRef>
              <c:f>KPI!$I$3:$I$7</c:f>
              <c:numCache>
                <c:formatCode>0.00%</c:formatCode>
                <c:ptCount val="5"/>
                <c:pt idx="0">
                  <c:v>7.7936704504317708E-4</c:v>
                </c:pt>
                <c:pt idx="1">
                  <c:v>-1.8084851662619118E-2</c:v>
                </c:pt>
                <c:pt idx="2">
                  <c:v>1.149309892705154E-4</c:v>
                </c:pt>
                <c:pt idx="3">
                  <c:v>-2.3335133938124329E-2</c:v>
                </c:pt>
                <c:pt idx="4">
                  <c:v>-2.3483649734758569E-2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7-47DB-B584-3998905CA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34288287"/>
        <c:axId val="1634305087"/>
      </c:barChart>
      <c:catAx>
        <c:axId val="1634288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1634305087"/>
        <c:crosses val="autoZero"/>
        <c:auto val="1"/>
        <c:lblAlgn val="ctr"/>
        <c:lblOffset val="100"/>
        <c:noMultiLvlLbl val="0"/>
      </c:catAx>
      <c:valAx>
        <c:axId val="163430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163428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IM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Annualised &amp;STD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M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KPI!$E$2</c:f>
              <c:strCache>
                <c:ptCount val="1"/>
                <c:pt idx="0">
                  <c:v>Annualised Return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KPI!$B$3:$B$7</c:f>
              <c:strCache>
                <c:ptCount val="5"/>
                <c:pt idx="0">
                  <c:v>SBI Balanced Advantage Fund </c:v>
                </c:pt>
                <c:pt idx="1">
                  <c:v>Tata Arbitrage Fund</c:v>
                </c:pt>
                <c:pt idx="2">
                  <c:v>Canara Robeco Large Cap Fund </c:v>
                </c:pt>
                <c:pt idx="3">
                  <c:v>Edelweiss Liquid fund</c:v>
                </c:pt>
                <c:pt idx="4">
                  <c:v>HDFC NIFTY Next 50 Index Fund </c:v>
                </c:pt>
              </c:strCache>
            </c:strRef>
          </c:cat>
          <c:val>
            <c:numRef>
              <c:f>KPI!$E$3:$E$7</c:f>
              <c:numCache>
                <c:formatCode>0.00%</c:formatCode>
                <c:ptCount val="5"/>
                <c:pt idx="0">
                  <c:v>9.2190129455136161E-2</c:v>
                </c:pt>
                <c:pt idx="1">
                  <c:v>7.1706592001106184E-2</c:v>
                </c:pt>
                <c:pt idx="2">
                  <c:v>7.5613562207405227E-2</c:v>
                </c:pt>
                <c:pt idx="3">
                  <c:v>6.6520125235721483E-2</c:v>
                </c:pt>
                <c:pt idx="4">
                  <c:v>-2.5100671944090602E-2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D-46D9-B7BF-A143CAD08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34381407"/>
        <c:axId val="1634389087"/>
      </c:barChart>
      <c:lineChart>
        <c:grouping val="standard"/>
        <c:varyColors val="0"/>
        <c:ser>
          <c:idx val="1"/>
          <c:order val="1"/>
          <c:tx>
            <c:strRef>
              <c:f>KPI!$F$2</c:f>
              <c:strCache>
                <c:ptCount val="1"/>
                <c:pt idx="0">
                  <c:v>Standard Deviation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KPI!$B$3:$B$7</c:f>
              <c:strCache>
                <c:ptCount val="5"/>
                <c:pt idx="0">
                  <c:v>SBI Balanced Advantage Fund </c:v>
                </c:pt>
                <c:pt idx="1">
                  <c:v>Tata Arbitrage Fund</c:v>
                </c:pt>
                <c:pt idx="2">
                  <c:v>Canara Robeco Large Cap Fund </c:v>
                </c:pt>
                <c:pt idx="3">
                  <c:v>Edelweiss Liquid fund</c:v>
                </c:pt>
                <c:pt idx="4">
                  <c:v>HDFC NIFTY Next 50 Index Fund </c:v>
                </c:pt>
              </c:strCache>
            </c:strRef>
          </c:cat>
          <c:val>
            <c:numRef>
              <c:f>KPI!$F$3:$F$7</c:f>
              <c:numCache>
                <c:formatCode>0.00%</c:formatCode>
                <c:ptCount val="5"/>
                <c:pt idx="0">
                  <c:v>3.8988833789710749E-2</c:v>
                </c:pt>
                <c:pt idx="1">
                  <c:v>2.1402679782817374E-2</c:v>
                </c:pt>
                <c:pt idx="2">
                  <c:v>4.8761496958593928E-2</c:v>
                </c:pt>
                <c:pt idx="3">
                  <c:v>2.0074324287481609E-2</c:v>
                </c:pt>
                <c:pt idx="4">
                  <c:v>5.1424236154983406E-2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3D-46D9-B7BF-A143CAD08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4381407"/>
        <c:axId val="1634389087"/>
      </c:lineChart>
      <c:catAx>
        <c:axId val="163438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1634389087"/>
        <c:crosses val="autoZero"/>
        <c:auto val="1"/>
        <c:lblAlgn val="ctr"/>
        <c:lblOffset val="100"/>
        <c:noMultiLvlLbl val="0"/>
      </c:catAx>
      <c:valAx>
        <c:axId val="163438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163438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IM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sz="1400" b="1" i="0" u="none" strike="noStrike" baseline="0">
                <a:solidFill>
                  <a:schemeClr val="bg1"/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Sharpe Ratio</a:t>
            </a:r>
            <a:r>
              <a:rPr lang="en-IN">
                <a:solidFill>
                  <a:schemeClr val="bg1"/>
                </a:solidFill>
                <a:effectLst/>
              </a:rPr>
              <a:t> </a:t>
            </a:r>
            <a:endParaRPr lang="en-US" sz="1400" b="0" i="0" u="none" strike="noStrike" baseline="0">
              <a:solidFill>
                <a:schemeClr val="bg1"/>
              </a:solidFill>
              <a:latin typeface="Calibri" panose="020F0502020204030204"/>
            </a:endParaRPr>
          </a:p>
        </cx:rich>
      </cx:tx>
    </cx:title>
    <cx:plotArea>
      <cx:plotAreaRegion>
        <cx:series layoutId="waterfall" uniqueId="{DC50AAC6-3F79-465D-B061-09A8DAD3DD9E}">
          <cx:tx>
            <cx:txData>
              <cx:f>_xlchart.v1.1</cx:f>
              <cx:v>Sharpe Ratio</cx:v>
            </cx:txData>
          </cx:tx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sz="1400" b="1" i="0" u="none" strike="noStrike" baseline="0">
                <a:solidFill>
                  <a:schemeClr val="bg1"/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Sharpe Ratio</a:t>
            </a:r>
            <a:r>
              <a:rPr lang="en-IN">
                <a:solidFill>
                  <a:schemeClr val="bg1"/>
                </a:solidFill>
                <a:effectLst/>
              </a:rPr>
              <a:t> </a:t>
            </a:r>
            <a:endParaRPr lang="en-US" sz="1400" b="0" i="0" u="none" strike="noStrike" baseline="0">
              <a:solidFill>
                <a:schemeClr val="bg1"/>
              </a:solidFill>
              <a:latin typeface="Calibri" panose="020F0502020204030204"/>
            </a:endParaRPr>
          </a:p>
        </cx:rich>
      </cx:tx>
    </cx:title>
    <cx:plotArea>
      <cx:plotAreaRegion>
        <cx:series layoutId="waterfall" uniqueId="{DC50AAC6-3F79-465D-B061-09A8DAD3DD9E}">
          <cx:tx>
            <cx:txData>
              <cx:f>_xlchart.v1.4</cx:f>
              <cx:v>Sharpe Ratio</cx:v>
            </cx:txData>
          </cx:tx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Canara Robeco Large CAP Fund'!A1"/><Relationship Id="rId2" Type="http://schemas.openxmlformats.org/officeDocument/2006/relationships/hyperlink" Target="#'Tata Arbitrage Fund'!A1"/><Relationship Id="rId1" Type="http://schemas.openxmlformats.org/officeDocument/2006/relationships/hyperlink" Target="#'SBI Balanced Advantage Fund '!A1"/><Relationship Id="rId6" Type="http://schemas.openxmlformats.org/officeDocument/2006/relationships/image" Target="../media/image1.png"/><Relationship Id="rId5" Type="http://schemas.openxmlformats.org/officeDocument/2006/relationships/hyperlink" Target="#'HDFC NIFTY Next 50 Index Fund'!A1"/><Relationship Id="rId4" Type="http://schemas.openxmlformats.org/officeDocument/2006/relationships/hyperlink" Target="#'Edelweiss liquid fund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13" Type="http://schemas.openxmlformats.org/officeDocument/2006/relationships/chart" Target="../charts/chart5.xml"/><Relationship Id="rId3" Type="http://schemas.openxmlformats.org/officeDocument/2006/relationships/hyperlink" Target="#'HDFC NIFTY Next 50 Index Fund D'!A1"/><Relationship Id="rId7" Type="http://schemas.openxmlformats.org/officeDocument/2006/relationships/hyperlink" Target="https://www.startrader.com/knowledge-basics/how-to-purchase-and-sell-mutual-funds/" TargetMode="External"/><Relationship Id="rId12" Type="http://schemas.openxmlformats.org/officeDocument/2006/relationships/chart" Target="../charts/chart4.xml"/><Relationship Id="rId2" Type="http://schemas.openxmlformats.org/officeDocument/2006/relationships/hyperlink" Target="#'Edelweiss liquid fund'!A1"/><Relationship Id="rId1" Type="http://schemas.openxmlformats.org/officeDocument/2006/relationships/hyperlink" Target="#'Tata Arbitrage Dir Gr'!A1"/><Relationship Id="rId6" Type="http://schemas.openxmlformats.org/officeDocument/2006/relationships/image" Target="../media/image2.jpeg"/><Relationship Id="rId11" Type="http://schemas.openxmlformats.org/officeDocument/2006/relationships/chart" Target="../charts/chart3.xml"/><Relationship Id="rId5" Type="http://schemas.openxmlformats.org/officeDocument/2006/relationships/hyperlink" Target="#'SBI Balanced Advantage Fund Dir'!A1"/><Relationship Id="rId10" Type="http://schemas.microsoft.com/office/2014/relationships/chartEx" Target="../charts/chartEx1.xml"/><Relationship Id="rId4" Type="http://schemas.openxmlformats.org/officeDocument/2006/relationships/hyperlink" Target="#'CANARA ROBECO LARGE CAP FUND DI'!A1"/><Relationship Id="rId9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2</xdr:row>
      <xdr:rowOff>0</xdr:rowOff>
    </xdr:from>
    <xdr:to>
      <xdr:col>21</xdr:col>
      <xdr:colOff>7620</xdr:colOff>
      <xdr:row>5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D750EE1-FED3-9E58-4BCD-095D4F369EAD}"/>
            </a:ext>
          </a:extLst>
        </xdr:cNvPr>
        <xdr:cNvSpPr/>
      </xdr:nvSpPr>
      <xdr:spPr>
        <a:xfrm>
          <a:off x="1208758" y="366889"/>
          <a:ext cx="11541195" cy="66463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Mutual Fund Dashboard Analysis &amp; Risk–Return Interpretation</a:t>
          </a:r>
          <a:endParaRPr lang="en-IM" sz="2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0</xdr:colOff>
      <xdr:row>7</xdr:row>
      <xdr:rowOff>15240</xdr:rowOff>
    </xdr:from>
    <xdr:to>
      <xdr:col>9</xdr:col>
      <xdr:colOff>586740</xdr:colOff>
      <xdr:row>10</xdr:row>
      <xdr:rowOff>129540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FFEB3-21D8-8DFD-E614-0FFDFE36C60E}"/>
            </a:ext>
          </a:extLst>
        </xdr:cNvPr>
        <xdr:cNvSpPr/>
      </xdr:nvSpPr>
      <xdr:spPr>
        <a:xfrm>
          <a:off x="1222549" y="1304778"/>
          <a:ext cx="4865664" cy="6669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M" sz="2000" b="1"/>
            <a:t>SBI Balanced Advantage Fund </a:t>
          </a:r>
        </a:p>
      </xdr:txBody>
    </xdr:sp>
    <xdr:clientData/>
  </xdr:twoCellAnchor>
  <xdr:twoCellAnchor>
    <xdr:from>
      <xdr:col>2</xdr:col>
      <xdr:colOff>0</xdr:colOff>
      <xdr:row>11</xdr:row>
      <xdr:rowOff>175260</xdr:rowOff>
    </xdr:from>
    <xdr:to>
      <xdr:col>9</xdr:col>
      <xdr:colOff>586740</xdr:colOff>
      <xdr:row>15</xdr:row>
      <xdr:rowOff>106680</xdr:rowOff>
    </xdr:to>
    <xdr:sp macro="" textlink="">
      <xdr:nvSpPr>
        <xdr:cNvPr id="6" name="Rectangl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E78394-0525-4B84-976E-8AD5C8E6F792}"/>
            </a:ext>
          </a:extLst>
        </xdr:cNvPr>
        <xdr:cNvSpPr/>
      </xdr:nvSpPr>
      <xdr:spPr>
        <a:xfrm>
          <a:off x="1219200" y="2186940"/>
          <a:ext cx="4853940" cy="6629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M" sz="2000" b="1"/>
            <a:t>Tata Arbitrage Fund</a:t>
          </a:r>
        </a:p>
      </xdr:txBody>
    </xdr:sp>
    <xdr:clientData/>
  </xdr:twoCellAnchor>
  <xdr:twoCellAnchor>
    <xdr:from>
      <xdr:col>2</xdr:col>
      <xdr:colOff>0</xdr:colOff>
      <xdr:row>17</xdr:row>
      <xdr:rowOff>15240</xdr:rowOff>
    </xdr:from>
    <xdr:to>
      <xdr:col>9</xdr:col>
      <xdr:colOff>586740</xdr:colOff>
      <xdr:row>20</xdr:row>
      <xdr:rowOff>129540</xdr:rowOff>
    </xdr:to>
    <xdr:sp macro="" textlink="">
      <xdr:nvSpPr>
        <xdr:cNvPr id="7" name="Rectangl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3C8D0CB-E063-49B0-9154-F1278704CED8}"/>
            </a:ext>
          </a:extLst>
        </xdr:cNvPr>
        <xdr:cNvSpPr/>
      </xdr:nvSpPr>
      <xdr:spPr>
        <a:xfrm>
          <a:off x="1213556" y="3133796"/>
          <a:ext cx="4834184" cy="66463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M" sz="2000" b="1"/>
            <a:t>Canara Robeco Large CAP Fund</a:t>
          </a:r>
        </a:p>
      </xdr:txBody>
    </xdr:sp>
    <xdr:clientData/>
  </xdr:twoCellAnchor>
  <xdr:twoCellAnchor>
    <xdr:from>
      <xdr:col>2</xdr:col>
      <xdr:colOff>7620</xdr:colOff>
      <xdr:row>22</xdr:row>
      <xdr:rowOff>30480</xdr:rowOff>
    </xdr:from>
    <xdr:to>
      <xdr:col>9</xdr:col>
      <xdr:colOff>594360</xdr:colOff>
      <xdr:row>25</xdr:row>
      <xdr:rowOff>144780</xdr:rowOff>
    </xdr:to>
    <xdr:sp macro="" textlink="">
      <xdr:nvSpPr>
        <xdr:cNvPr id="8" name="Rectangle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11E9471-CEF3-42FB-ABCD-C1D9D0A6E1CD}"/>
            </a:ext>
          </a:extLst>
        </xdr:cNvPr>
        <xdr:cNvSpPr/>
      </xdr:nvSpPr>
      <xdr:spPr>
        <a:xfrm>
          <a:off x="1226820" y="4053840"/>
          <a:ext cx="4853940" cy="6629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M" sz="2000" b="1"/>
            <a:t>Edelweiss liquid fund</a:t>
          </a:r>
        </a:p>
      </xdr:txBody>
    </xdr:sp>
    <xdr:clientData/>
  </xdr:twoCellAnchor>
  <xdr:twoCellAnchor>
    <xdr:from>
      <xdr:col>2</xdr:col>
      <xdr:colOff>12645</xdr:colOff>
      <xdr:row>27</xdr:row>
      <xdr:rowOff>26126</xdr:rowOff>
    </xdr:from>
    <xdr:to>
      <xdr:col>9</xdr:col>
      <xdr:colOff>599385</xdr:colOff>
      <xdr:row>30</xdr:row>
      <xdr:rowOff>140427</xdr:rowOff>
    </xdr:to>
    <xdr:sp macro="" textlink="">
      <xdr:nvSpPr>
        <xdr:cNvPr id="9" name="Rectangle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C36C05D-05A3-488F-9AA8-30C979B3362F}"/>
            </a:ext>
          </a:extLst>
        </xdr:cNvPr>
        <xdr:cNvSpPr/>
      </xdr:nvSpPr>
      <xdr:spPr>
        <a:xfrm>
          <a:off x="1235194" y="5000060"/>
          <a:ext cx="4865664" cy="6669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M" sz="2000" b="1"/>
            <a:t>HDFC NIFTY Next 50 Index Fund</a:t>
          </a:r>
        </a:p>
      </xdr:txBody>
    </xdr:sp>
    <xdr:clientData/>
  </xdr:twoCellAnchor>
  <xdr:twoCellAnchor>
    <xdr:from>
      <xdr:col>11</xdr:col>
      <xdr:colOff>301451</xdr:colOff>
      <xdr:row>7</xdr:row>
      <xdr:rowOff>0</xdr:rowOff>
    </xdr:from>
    <xdr:to>
      <xdr:col>20</xdr:col>
      <xdr:colOff>343318</xdr:colOff>
      <xdr:row>30</xdr:row>
      <xdr:rowOff>92110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AB63B66-CAF4-2B6A-6793-3BBFDC9F8110}"/>
            </a:ext>
          </a:extLst>
        </xdr:cNvPr>
        <xdr:cNvSpPr/>
      </xdr:nvSpPr>
      <xdr:spPr>
        <a:xfrm>
          <a:off x="7025473" y="1289538"/>
          <a:ext cx="5543340" cy="432916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M" sz="1100"/>
        </a:p>
      </xdr:txBody>
    </xdr:sp>
    <xdr:clientData/>
  </xdr:twoCellAnchor>
  <xdr:twoCellAnchor editAs="oneCell">
    <xdr:from>
      <xdr:col>10</xdr:col>
      <xdr:colOff>479778</xdr:colOff>
      <xdr:row>7</xdr:row>
      <xdr:rowOff>0</xdr:rowOff>
    </xdr:from>
    <xdr:to>
      <xdr:col>21</xdr:col>
      <xdr:colOff>42335</xdr:colOff>
      <xdr:row>31</xdr:row>
      <xdr:rowOff>70555</xdr:rowOff>
    </xdr:to>
    <xdr:pic>
      <xdr:nvPicPr>
        <xdr:cNvPr id="4" name="Picture 3" descr="What is a Mutual Fund? {INFOGRAPHIC} - StocksToTrade">
          <a:extLst>
            <a:ext uri="{FF2B5EF4-FFF2-40B4-BE49-F238E27FC236}">
              <a16:creationId xmlns:a16="http://schemas.microsoft.com/office/drawing/2014/main" id="{4FC6275F-67F5-0AC4-BAA8-757118ABD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556" y="1284111"/>
          <a:ext cx="6237112" cy="44732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0</xdr:row>
      <xdr:rowOff>175260</xdr:rowOff>
    </xdr:from>
    <xdr:to>
      <xdr:col>22</xdr:col>
      <xdr:colOff>350520</xdr:colOff>
      <xdr:row>32</xdr:row>
      <xdr:rowOff>175260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9226C96-A3EA-9152-7BE7-AFD026A67C6C}"/>
            </a:ext>
          </a:extLst>
        </xdr:cNvPr>
        <xdr:cNvSpPr/>
      </xdr:nvSpPr>
      <xdr:spPr>
        <a:xfrm>
          <a:off x="594360" y="175260"/>
          <a:ext cx="13208753" cy="5719704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M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172064</xdr:colOff>
      <xdr:row>1</xdr:row>
      <xdr:rowOff>57354</xdr:rowOff>
    </xdr:from>
    <xdr:to>
      <xdr:col>22</xdr:col>
      <xdr:colOff>175260</xdr:colOff>
      <xdr:row>5</xdr:row>
      <xdr:rowOff>129539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D510F3D-90D5-BD0F-342D-E390246D1118}"/>
            </a:ext>
          </a:extLst>
        </xdr:cNvPr>
        <xdr:cNvSpPr/>
      </xdr:nvSpPr>
      <xdr:spPr>
        <a:xfrm>
          <a:off x="3203677" y="237612"/>
          <a:ext cx="10310680" cy="79321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>
              <a:latin typeface="Times New Roman" panose="02020603050405020304" pitchFamily="18" charset="0"/>
              <a:cs typeface="Times New Roman" panose="02020603050405020304" pitchFamily="18" charset="0"/>
            </a:rPr>
            <a:t>MUTUAL FUND DASHBOARD</a:t>
          </a:r>
          <a:endParaRPr lang="en-IM" sz="3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38100</xdr:colOff>
      <xdr:row>8</xdr:row>
      <xdr:rowOff>7620</xdr:rowOff>
    </xdr:from>
    <xdr:to>
      <xdr:col>5</xdr:col>
      <xdr:colOff>167640</xdr:colOff>
      <xdr:row>11</xdr:row>
      <xdr:rowOff>129540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5F234C-FD0B-7853-E912-948170ACABCC}"/>
            </a:ext>
          </a:extLst>
        </xdr:cNvPr>
        <xdr:cNvSpPr/>
      </xdr:nvSpPr>
      <xdr:spPr>
        <a:xfrm>
          <a:off x="649581" y="1437546"/>
          <a:ext cx="2575466" cy="65814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M" sz="1600">
              <a:latin typeface="Times New Roman" panose="02020603050405020304" pitchFamily="18" charset="0"/>
              <a:cs typeface="Times New Roman" panose="02020603050405020304" pitchFamily="18" charset="0"/>
            </a:rPr>
            <a:t>Tata Arbitrage 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Fund</a:t>
          </a:r>
          <a:endParaRPr lang="en-IM" sz="16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30480</xdr:colOff>
      <xdr:row>12</xdr:row>
      <xdr:rowOff>160020</xdr:rowOff>
    </xdr:from>
    <xdr:to>
      <xdr:col>5</xdr:col>
      <xdr:colOff>160020</xdr:colOff>
      <xdr:row>16</xdr:row>
      <xdr:rowOff>99060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55536E-FB12-43FA-B49E-573C20529B11}"/>
            </a:ext>
          </a:extLst>
        </xdr:cNvPr>
        <xdr:cNvSpPr/>
      </xdr:nvSpPr>
      <xdr:spPr>
        <a:xfrm>
          <a:off x="640080" y="2354580"/>
          <a:ext cx="2567940" cy="6705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M" sz="1600">
              <a:latin typeface="Times New Roman" panose="02020603050405020304" pitchFamily="18" charset="0"/>
              <a:cs typeface="Times New Roman" panose="02020603050405020304" pitchFamily="18" charset="0"/>
            </a:rPr>
            <a:t>Edelweiss liquid fund</a:t>
          </a:r>
        </a:p>
      </xdr:txBody>
    </xdr:sp>
    <xdr:clientData/>
  </xdr:twoCellAnchor>
  <xdr:twoCellAnchor>
    <xdr:from>
      <xdr:col>1</xdr:col>
      <xdr:colOff>30480</xdr:colOff>
      <xdr:row>17</xdr:row>
      <xdr:rowOff>175260</xdr:rowOff>
    </xdr:from>
    <xdr:to>
      <xdr:col>5</xdr:col>
      <xdr:colOff>160020</xdr:colOff>
      <xdr:row>21</xdr:row>
      <xdr:rowOff>114300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64261CF-66E0-462F-87F0-1CEFEF8B45D2}"/>
            </a:ext>
          </a:extLst>
        </xdr:cNvPr>
        <xdr:cNvSpPr/>
      </xdr:nvSpPr>
      <xdr:spPr>
        <a:xfrm>
          <a:off x="641961" y="3213853"/>
          <a:ext cx="2575466" cy="65400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M" sz="1600">
              <a:latin typeface="Times New Roman" panose="02020603050405020304" pitchFamily="18" charset="0"/>
              <a:cs typeface="Times New Roman" panose="02020603050405020304" pitchFamily="18" charset="0"/>
            </a:rPr>
            <a:t>HDFC N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ifty</a:t>
          </a:r>
          <a:r>
            <a:rPr lang="en-IM" sz="1600">
              <a:latin typeface="Times New Roman" panose="02020603050405020304" pitchFamily="18" charset="0"/>
              <a:cs typeface="Times New Roman" panose="02020603050405020304" pitchFamily="18" charset="0"/>
            </a:rPr>
            <a:t> Next 50 Index Fund </a:t>
          </a:r>
        </a:p>
      </xdr:txBody>
    </xdr:sp>
    <xdr:clientData/>
  </xdr:twoCellAnchor>
  <xdr:twoCellAnchor>
    <xdr:from>
      <xdr:col>1</xdr:col>
      <xdr:colOff>22860</xdr:colOff>
      <xdr:row>22</xdr:row>
      <xdr:rowOff>167640</xdr:rowOff>
    </xdr:from>
    <xdr:to>
      <xdr:col>5</xdr:col>
      <xdr:colOff>152400</xdr:colOff>
      <xdr:row>26</xdr:row>
      <xdr:rowOff>106680</xdr:rowOff>
    </xdr:to>
    <xdr:sp macro="" textlink="">
      <xdr:nvSpPr>
        <xdr:cNvPr id="8" name="Rectangle: Rounded Corner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F2AE1B-9833-4D7B-90E1-DA0232551E4D}"/>
            </a:ext>
          </a:extLst>
        </xdr:cNvPr>
        <xdr:cNvSpPr/>
      </xdr:nvSpPr>
      <xdr:spPr>
        <a:xfrm>
          <a:off x="634341" y="4099936"/>
          <a:ext cx="2575466" cy="65400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M" sz="1600">
              <a:latin typeface="Times New Roman" panose="02020603050405020304" pitchFamily="18" charset="0"/>
              <a:cs typeface="Times New Roman" panose="02020603050405020304" pitchFamily="18" charset="0"/>
            </a:rPr>
            <a:t>C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anara</a:t>
          </a:r>
          <a:r>
            <a:rPr lang="en-US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Robeco Large Cap Fund</a:t>
          </a:r>
          <a:endParaRPr lang="en-IM" sz="16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30480</xdr:colOff>
      <xdr:row>27</xdr:row>
      <xdr:rowOff>152400</xdr:rowOff>
    </xdr:from>
    <xdr:to>
      <xdr:col>5</xdr:col>
      <xdr:colOff>160020</xdr:colOff>
      <xdr:row>31</xdr:row>
      <xdr:rowOff>91440</xdr:rowOff>
    </xdr:to>
    <xdr:sp macro="" textlink="">
      <xdr:nvSpPr>
        <xdr:cNvPr id="9" name="Rectangle: Rounded Corner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7E67C7F-8E0C-4A7C-B113-FC922C201C00}"/>
            </a:ext>
          </a:extLst>
        </xdr:cNvPr>
        <xdr:cNvSpPr/>
      </xdr:nvSpPr>
      <xdr:spPr>
        <a:xfrm>
          <a:off x="645942" y="4900246"/>
          <a:ext cx="2591386" cy="642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M" sz="1600">
              <a:latin typeface="Times New Roman" panose="02020603050405020304" pitchFamily="18" charset="0"/>
              <a:cs typeface="Times New Roman" panose="02020603050405020304" pitchFamily="18" charset="0"/>
            </a:rPr>
            <a:t>SBI Balanced</a:t>
          </a:r>
          <a:r>
            <a:rPr lang="en-US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IM" sz="1600">
              <a:latin typeface="Times New Roman" panose="02020603050405020304" pitchFamily="18" charset="0"/>
              <a:cs typeface="Times New Roman" panose="02020603050405020304" pitchFamily="18" charset="0"/>
            </a:rPr>
            <a:t>Advantage Fund </a:t>
          </a:r>
        </a:p>
      </xdr:txBody>
    </xdr:sp>
    <xdr:clientData/>
  </xdr:twoCellAnchor>
  <xdr:twoCellAnchor editAs="oneCell">
    <xdr:from>
      <xdr:col>1</xdr:col>
      <xdr:colOff>24578</xdr:colOff>
      <xdr:row>1</xdr:row>
      <xdr:rowOff>16388</xdr:rowOff>
    </xdr:from>
    <xdr:to>
      <xdr:col>5</xdr:col>
      <xdr:colOff>114710</xdr:colOff>
      <xdr:row>7</xdr:row>
      <xdr:rowOff>139341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513A75B-85C7-4051-8BB1-C44D08B51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tretch>
          <a:fillRect/>
        </a:stretch>
      </xdr:blipFill>
      <xdr:spPr>
        <a:xfrm>
          <a:off x="630901" y="196646"/>
          <a:ext cx="2515422" cy="1204501"/>
        </a:xfrm>
        <a:prstGeom prst="rect">
          <a:avLst/>
        </a:prstGeom>
      </xdr:spPr>
    </xdr:pic>
    <xdr:clientData/>
  </xdr:twoCellAnchor>
  <xdr:twoCellAnchor>
    <xdr:from>
      <xdr:col>5</xdr:col>
      <xdr:colOff>282222</xdr:colOff>
      <xdr:row>6</xdr:row>
      <xdr:rowOff>94073</xdr:rowOff>
    </xdr:from>
    <xdr:to>
      <xdr:col>11</xdr:col>
      <xdr:colOff>122296</xdr:colOff>
      <xdr:row>18</xdr:row>
      <xdr:rowOff>9408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2A1556-3F5D-4329-9E7E-FF776A855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235185</xdr:colOff>
      <xdr:row>6</xdr:row>
      <xdr:rowOff>84667</xdr:rowOff>
    </xdr:from>
    <xdr:to>
      <xdr:col>16</xdr:col>
      <xdr:colOff>517407</xdr:colOff>
      <xdr:row>18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8CA47D7-5304-4A52-B33F-ACF6C62F9A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18813</xdr:colOff>
      <xdr:row>6</xdr:row>
      <xdr:rowOff>84666</xdr:rowOff>
    </xdr:from>
    <xdr:to>
      <xdr:col>22</xdr:col>
      <xdr:colOff>197554</xdr:colOff>
      <xdr:row>17</xdr:row>
      <xdr:rowOff>169332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D0A4DBA3-FDE9-4BBD-8E60-76075A616E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82013" y="1181946"/>
              <a:ext cx="3226741" cy="20963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272816</xdr:colOff>
      <xdr:row>18</xdr:row>
      <xdr:rowOff>94075</xdr:rowOff>
    </xdr:from>
    <xdr:to>
      <xdr:col>11</xdr:col>
      <xdr:colOff>122297</xdr:colOff>
      <xdr:row>32</xdr:row>
      <xdr:rowOff>28222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F88A1EC-7940-45F5-9212-48016730D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235184</xdr:colOff>
      <xdr:row>18</xdr:row>
      <xdr:rowOff>84666</xdr:rowOff>
    </xdr:from>
    <xdr:to>
      <xdr:col>16</xdr:col>
      <xdr:colOff>498591</xdr:colOff>
      <xdr:row>32</xdr:row>
      <xdr:rowOff>18815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119884F-0D7B-45D0-A0D2-A5FB44C15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18814</xdr:colOff>
      <xdr:row>18</xdr:row>
      <xdr:rowOff>84666</xdr:rowOff>
    </xdr:from>
    <xdr:to>
      <xdr:col>22</xdr:col>
      <xdr:colOff>206963</xdr:colOff>
      <xdr:row>32</xdr:row>
      <xdr:rowOff>9407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5006303-EF15-4CB7-9F41-90096AAB6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7</xdr:row>
      <xdr:rowOff>152400</xdr:rowOff>
    </xdr:from>
    <xdr:to>
      <xdr:col>5</xdr:col>
      <xdr:colOff>220980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2D345B-2CB2-8937-E60D-9D4D24E67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312420</xdr:colOff>
      <xdr:row>7</xdr:row>
      <xdr:rowOff>137160</xdr:rowOff>
    </xdr:from>
    <xdr:to>
      <xdr:col>9</xdr:col>
      <xdr:colOff>556260</xdr:colOff>
      <xdr:row>22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E412B3-846A-2869-3E9B-11A7C3F8A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685800</xdr:colOff>
      <xdr:row>7</xdr:row>
      <xdr:rowOff>137160</xdr:rowOff>
    </xdr:from>
    <xdr:to>
      <xdr:col>16</xdr:col>
      <xdr:colOff>518160</xdr:colOff>
      <xdr:row>22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76F7120-C866-4C64-09CA-DD250FB754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97440" y="35814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22</xdr:row>
      <xdr:rowOff>180472</xdr:rowOff>
    </xdr:from>
    <xdr:to>
      <xdr:col>5</xdr:col>
      <xdr:colOff>182880</xdr:colOff>
      <xdr:row>38</xdr:row>
      <xdr:rowOff>50130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369011-6058-CC50-BB0E-1CBAEF0955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274320</xdr:colOff>
      <xdr:row>23</xdr:row>
      <xdr:rowOff>38100</xdr:rowOff>
    </xdr:from>
    <xdr:to>
      <xdr:col>9</xdr:col>
      <xdr:colOff>518160</xdr:colOff>
      <xdr:row>38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51E253-3625-E6E1-0ED6-7214C1771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685800</xdr:colOff>
      <xdr:row>23</xdr:row>
      <xdr:rowOff>53340</xdr:rowOff>
    </xdr:from>
    <xdr:to>
      <xdr:col>16</xdr:col>
      <xdr:colOff>518160</xdr:colOff>
      <xdr:row>38</xdr:row>
      <xdr:rowOff>53340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0899936-9C20-4056-9F4D-7043E8C02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C2D3-ADD7-45AE-842B-0C59D17C028E}">
  <sheetPr>
    <tabColor theme="4" tint="0.39997558519241921"/>
  </sheetPr>
  <dimension ref="C3:Z31"/>
  <sheetViews>
    <sheetView zoomScale="54" zoomScaleNormal="91" workbookViewId="0">
      <selection activeCell="C3" sqref="C3:U26"/>
    </sheetView>
  </sheetViews>
  <sheetFormatPr defaultRowHeight="14.4"/>
  <cols>
    <col min="1" max="16384" width="8.88671875" style="54"/>
  </cols>
  <sheetData>
    <row r="3" spans="3:21"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</row>
    <row r="4" spans="3:21"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</row>
    <row r="5" spans="3:21"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</row>
    <row r="6" spans="3:21"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</row>
    <row r="7" spans="3:21"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</row>
    <row r="8" spans="3:21"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</row>
    <row r="9" spans="3:21"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</row>
    <row r="10" spans="3:21"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</row>
    <row r="11" spans="3:21"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</row>
    <row r="12" spans="3:21"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</row>
    <row r="13" spans="3:21"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</row>
    <row r="14" spans="3:21"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</row>
    <row r="15" spans="3:21"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</row>
    <row r="16" spans="3:21"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</row>
    <row r="17" spans="3:26"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</row>
    <row r="18" spans="3:26"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</row>
    <row r="19" spans="3:26"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</row>
    <row r="20" spans="3:26"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</row>
    <row r="21" spans="3:26"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</row>
    <row r="22" spans="3:26"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</row>
    <row r="23" spans="3:26"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</row>
    <row r="24" spans="3:26"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Z24"/>
    </row>
    <row r="25" spans="3:26"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</row>
    <row r="26" spans="3:26"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</row>
    <row r="27" spans="3:26"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</row>
    <row r="28" spans="3:26"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</row>
    <row r="29" spans="3:26"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</row>
    <row r="30" spans="3:26"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</row>
    <row r="31" spans="3:26"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</row>
  </sheetData>
  <mergeCells count="2">
    <mergeCell ref="C3:U26"/>
    <mergeCell ref="C27:U3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F742-5C57-4B78-95B6-04D847A7AD08}">
  <sheetPr>
    <tabColor theme="4" tint="0.39997558519241921"/>
  </sheetPr>
  <dimension ref="A1:R251"/>
  <sheetViews>
    <sheetView workbookViewId="0">
      <selection activeCell="J16" sqref="J16"/>
    </sheetView>
  </sheetViews>
  <sheetFormatPr defaultRowHeight="14.4"/>
  <cols>
    <col min="1" max="1" width="12.5546875" bestFit="1" customWidth="1"/>
    <col min="2" max="2" width="9.88671875" bestFit="1" customWidth="1"/>
    <col min="3" max="3" width="11.5546875" bestFit="1" customWidth="1"/>
    <col min="4" max="4" width="10.88671875" bestFit="1" customWidth="1"/>
    <col min="5" max="5" width="11.109375" bestFit="1" customWidth="1"/>
    <col min="6" max="6" width="12.21875" customWidth="1"/>
    <col min="9" max="9" width="9.5546875" bestFit="1" customWidth="1"/>
    <col min="10" max="10" width="10.88671875" bestFit="1" customWidth="1"/>
    <col min="14" max="14" width="12.6640625" bestFit="1" customWidth="1"/>
    <col min="16" max="16" width="20.88671875" bestFit="1" customWidth="1"/>
    <col min="17" max="17" width="6.21875" bestFit="1" customWidth="1"/>
    <col min="18" max="18" width="6.88671875" bestFit="1" customWidth="1"/>
  </cols>
  <sheetData>
    <row r="1" spans="1:18">
      <c r="A1" s="18" t="s">
        <v>0</v>
      </c>
      <c r="B1" s="19" t="s">
        <v>1</v>
      </c>
      <c r="C1" s="19" t="s">
        <v>39</v>
      </c>
      <c r="D1" s="19" t="s">
        <v>22</v>
      </c>
      <c r="E1" s="19" t="s">
        <v>2</v>
      </c>
      <c r="F1" s="8"/>
      <c r="H1" s="39" t="s">
        <v>26</v>
      </c>
      <c r="I1" s="39" t="s">
        <v>2</v>
      </c>
      <c r="J1" s="39" t="s">
        <v>22</v>
      </c>
      <c r="P1" s="39"/>
      <c r="Q1" s="39" t="s">
        <v>23</v>
      </c>
      <c r="R1" s="39" t="s">
        <v>24</v>
      </c>
    </row>
    <row r="2" spans="1:18">
      <c r="A2" s="12">
        <v>45628</v>
      </c>
      <c r="B2" s="44">
        <v>15.271699999999999</v>
      </c>
      <c r="C2" s="35">
        <v>13716.95</v>
      </c>
      <c r="D2" s="16"/>
      <c r="E2" s="16"/>
      <c r="F2" s="5" t="s">
        <v>25</v>
      </c>
      <c r="H2" s="16" t="s">
        <v>3</v>
      </c>
      <c r="I2" s="17">
        <f>(B22-$B$2)/$B$2</f>
        <v>-6.9147508135963274E-3</v>
      </c>
      <c r="J2" s="17">
        <f>(C22-$C$2)/$C$2</f>
        <v>-2.259977618931322E-2</v>
      </c>
      <c r="L2" s="81" t="s">
        <v>15</v>
      </c>
      <c r="M2" s="81"/>
      <c r="N2" s="17">
        <f>(B247/B2)^(12/12)-1</f>
        <v>9.2190129455136161E-2</v>
      </c>
      <c r="P2" s="16" t="s">
        <v>18</v>
      </c>
      <c r="Q2" s="66">
        <f>AVERAGE(I2:I13)</f>
        <v>2.806661995717576E-2</v>
      </c>
      <c r="R2" s="66">
        <f>AVERAGE(J2:J13)</f>
        <v>-8.9493898667950284E-3</v>
      </c>
    </row>
    <row r="3" spans="1:18">
      <c r="A3" s="14">
        <v>45629</v>
      </c>
      <c r="B3" s="45">
        <v>15.337199999999999</v>
      </c>
      <c r="C3" s="35">
        <v>13825.85</v>
      </c>
      <c r="D3" s="17">
        <f>LN(C3/C2)</f>
        <v>7.907733961662328E-3</v>
      </c>
      <c r="E3" s="17">
        <f>LN(B3/B2)</f>
        <v>4.2798075055888842E-3</v>
      </c>
      <c r="F3" s="4">
        <f>SLOPE(E3:E250,D3:D250)</f>
        <v>0.47444578046398889</v>
      </c>
      <c r="H3" s="16" t="s">
        <v>4</v>
      </c>
      <c r="I3" s="17">
        <f>(B45-$B$2)/$B$2</f>
        <v>-1.2474053314300199E-2</v>
      </c>
      <c r="J3" s="17">
        <f>(C45-$C$2)/$C$2</f>
        <v>-4.7561593502928962E-2</v>
      </c>
      <c r="L3" s="80" t="s">
        <v>16</v>
      </c>
      <c r="M3" s="80"/>
      <c r="N3" s="17">
        <f>_xlfn.STDEV.S(I2:I13)</f>
        <v>3.8988833789710749E-2</v>
      </c>
      <c r="P3" s="16" t="s">
        <v>19</v>
      </c>
      <c r="Q3" s="66">
        <v>0.06</v>
      </c>
      <c r="R3" s="16"/>
    </row>
    <row r="4" spans="1:18">
      <c r="A4" s="12">
        <v>45630</v>
      </c>
      <c r="B4" s="44">
        <v>15.353999999999999</v>
      </c>
      <c r="C4" s="35">
        <v>13866.2</v>
      </c>
      <c r="D4" s="17">
        <f t="shared" ref="D4:D67" si="0">LN(C4/C3)</f>
        <v>2.9141958472668804E-3</v>
      </c>
      <c r="E4" s="17">
        <f t="shared" ref="E4:E67" si="1">LN(B4/B3)</f>
        <v>1.0947764621748069E-3</v>
      </c>
      <c r="F4" s="7"/>
      <c r="H4" s="16" t="s">
        <v>5</v>
      </c>
      <c r="I4" s="17">
        <f>(B64-$B$2)/$B$2</f>
        <v>-3.9720528821283713E-2</v>
      </c>
      <c r="J4" s="17">
        <f>(C64-$C$2)/$C$2</f>
        <v>-0.11670232814146009</v>
      </c>
      <c r="L4" s="80" t="s">
        <v>17</v>
      </c>
      <c r="M4" s="80"/>
      <c r="N4" s="64">
        <f>(Q2-Q3)/N3</f>
        <v>-0.81903911809877061</v>
      </c>
    </row>
    <row r="5" spans="1:18">
      <c r="A5" s="14">
        <v>45631</v>
      </c>
      <c r="B5" s="45">
        <v>15.382400000000001</v>
      </c>
      <c r="C5" s="35">
        <v>13983.4</v>
      </c>
      <c r="D5" s="17">
        <f t="shared" si="0"/>
        <v>8.4166876275428206E-3</v>
      </c>
      <c r="E5" s="17">
        <f t="shared" si="1"/>
        <v>1.8479723117978757E-3</v>
      </c>
      <c r="F5" s="7"/>
      <c r="H5" s="16" t="s">
        <v>6</v>
      </c>
      <c r="I5" s="17">
        <f>(B83-$B$2)/$B$2</f>
        <v>-4.6163819352134424E-3</v>
      </c>
      <c r="J5" s="17">
        <f>(C83-$C$2)/$C$2</f>
        <v>-5.3525018316754137E-2</v>
      </c>
      <c r="L5" s="80" t="s">
        <v>20</v>
      </c>
      <c r="M5" s="80"/>
      <c r="N5" s="65">
        <f>(Q2-Q3)/F3</f>
        <v>-6.7306700486607085E-2</v>
      </c>
    </row>
    <row r="6" spans="1:18">
      <c r="A6" s="12">
        <v>45632</v>
      </c>
      <c r="B6" s="44">
        <v>15.3703</v>
      </c>
      <c r="C6" s="35">
        <v>13996.8</v>
      </c>
      <c r="D6" s="17">
        <f t="shared" si="0"/>
        <v>9.5782024606331497E-4</v>
      </c>
      <c r="E6" s="17">
        <f t="shared" si="1"/>
        <v>-7.8692281486881003E-4</v>
      </c>
      <c r="F6" s="7"/>
      <c r="H6" s="16" t="s">
        <v>7</v>
      </c>
      <c r="I6" s="17">
        <f>(B102-$B$2)/$B$2</f>
        <v>2.1176424366639027E-2</v>
      </c>
      <c r="J6" s="17">
        <f>(C102-$C$2)/$C$2</f>
        <v>-2.0325218069614678E-2</v>
      </c>
      <c r="L6" s="80" t="s">
        <v>21</v>
      </c>
      <c r="M6" s="80"/>
      <c r="N6" s="66">
        <f>Q2-(Q3+F3*(R2-Q3))</f>
        <v>7.7936704504317708E-4</v>
      </c>
    </row>
    <row r="7" spans="1:18">
      <c r="A7" s="14">
        <v>45635</v>
      </c>
      <c r="B7" s="45">
        <v>15.3726</v>
      </c>
      <c r="C7" s="35">
        <v>13977.2</v>
      </c>
      <c r="D7" s="17">
        <f t="shared" si="0"/>
        <v>-1.4013014375696459E-3</v>
      </c>
      <c r="E7" s="17">
        <f t="shared" si="1"/>
        <v>1.4962804447791098E-4</v>
      </c>
      <c r="F7" s="7"/>
      <c r="H7" s="16" t="s">
        <v>8</v>
      </c>
      <c r="I7" s="17">
        <f>(B123-$B$2)/$B$2</f>
        <v>3.7815043511855301E-2</v>
      </c>
      <c r="J7" s="17">
        <f>(C123-$C$2)/$C$2</f>
        <v>5.9379089374823777E-3</v>
      </c>
    </row>
    <row r="8" spans="1:18">
      <c r="A8" s="12">
        <v>45636</v>
      </c>
      <c r="B8" s="44">
        <v>15.3681</v>
      </c>
      <c r="C8" s="35">
        <v>13985.45</v>
      </c>
      <c r="D8" s="17">
        <f t="shared" si="0"/>
        <v>5.9007284641313562E-4</v>
      </c>
      <c r="E8" s="17">
        <f t="shared" si="1"/>
        <v>-2.9277147443894423E-4</v>
      </c>
      <c r="F8" s="7"/>
      <c r="H8" s="16" t="s">
        <v>9</v>
      </c>
      <c r="I8" s="17">
        <f>(B144-$B$2)/$B$2</f>
        <v>5.8624776547470323E-2</v>
      </c>
      <c r="J8" s="17">
        <f>(C144-$C$2)/$C$2</f>
        <v>3.9053871305209896E-2</v>
      </c>
      <c r="P8" s="3"/>
    </row>
    <row r="9" spans="1:18">
      <c r="A9" s="14">
        <v>45637</v>
      </c>
      <c r="B9" s="45">
        <v>15.3744</v>
      </c>
      <c r="C9" s="35">
        <v>14007.6</v>
      </c>
      <c r="D9" s="17">
        <f t="shared" si="0"/>
        <v>1.5825359953803577E-3</v>
      </c>
      <c r="E9" s="17">
        <f t="shared" si="1"/>
        <v>4.0985606819162688E-4</v>
      </c>
      <c r="F9" s="7"/>
      <c r="H9" s="16" t="s">
        <v>10</v>
      </c>
      <c r="I9" s="17">
        <f>(B167-$B$2)/$B$2</f>
        <v>3.8810348553206302E-2</v>
      </c>
      <c r="J9" s="17">
        <f>(C167-$C$2)/$C$2</f>
        <v>7.0751879973317148E-3</v>
      </c>
      <c r="P9" s="6"/>
    </row>
    <row r="10" spans="1:18">
      <c r="A10" s="12">
        <v>45638</v>
      </c>
      <c r="B10" s="44">
        <v>15.360300000000001</v>
      </c>
      <c r="C10" s="35">
        <v>13956.45</v>
      </c>
      <c r="D10" s="17">
        <f t="shared" si="0"/>
        <v>-3.6582724637413463E-3</v>
      </c>
      <c r="E10" s="17">
        <f t="shared" si="1"/>
        <v>-9.1752976207251375E-4</v>
      </c>
      <c r="F10" s="7"/>
      <c r="H10" s="16" t="s">
        <v>11</v>
      </c>
      <c r="I10" s="17">
        <f>(B186-$B$2)/$B$2</f>
        <v>2.9237085589685522E-2</v>
      </c>
      <c r="J10" s="17">
        <f>(C186-$C$2)/$C$2</f>
        <v>-1.0341220169206737E-2</v>
      </c>
    </row>
    <row r="11" spans="1:18">
      <c r="A11" s="14">
        <v>45639</v>
      </c>
      <c r="B11" s="45">
        <v>15.3741</v>
      </c>
      <c r="C11" s="35">
        <v>14035.9</v>
      </c>
      <c r="D11" s="17">
        <f t="shared" si="0"/>
        <v>5.676566157944451E-3</v>
      </c>
      <c r="E11" s="17">
        <f t="shared" si="1"/>
        <v>8.9801661508923038E-4</v>
      </c>
      <c r="F11" s="7"/>
      <c r="H11" s="16" t="s">
        <v>12</v>
      </c>
      <c r="I11" s="17">
        <f>(B208-$B$2)/$B$2</f>
        <v>4.3001106622052608E-2</v>
      </c>
      <c r="J11" s="17">
        <f>(C208-$C$2)/$C$2</f>
        <v>1.6767575882393681E-3</v>
      </c>
    </row>
    <row r="12" spans="1:18">
      <c r="A12" s="12">
        <v>45642</v>
      </c>
      <c r="B12" s="44">
        <v>15.347099999999999</v>
      </c>
      <c r="C12" s="35">
        <v>14021.75</v>
      </c>
      <c r="D12" s="17">
        <f t="shared" si="0"/>
        <v>-1.0086376585084838E-3</v>
      </c>
      <c r="E12" s="17">
        <f t="shared" si="1"/>
        <v>-1.757744290701293E-3</v>
      </c>
      <c r="F12" s="7"/>
      <c r="H12" s="16" t="s">
        <v>13</v>
      </c>
      <c r="I12" s="17">
        <f>(B228-$B$2)/$B$2</f>
        <v>7.9670239724457623E-2</v>
      </c>
      <c r="J12" s="17">
        <f>(C228-$C$2)/$C$2</f>
        <v>4.7047630850881463E-2</v>
      </c>
    </row>
    <row r="13" spans="1:18">
      <c r="A13" s="14">
        <v>45643</v>
      </c>
      <c r="B13" s="45">
        <v>15.2827</v>
      </c>
      <c r="C13" s="35">
        <v>13858</v>
      </c>
      <c r="D13" s="17">
        <f t="shared" si="0"/>
        <v>-1.1747012294985976E-2</v>
      </c>
      <c r="E13" s="17">
        <f t="shared" si="1"/>
        <v>-4.2050614040102527E-3</v>
      </c>
      <c r="F13" s="7"/>
      <c r="H13" s="16" t="s">
        <v>14</v>
      </c>
      <c r="I13" s="17">
        <f>(B247-$B$2)/$B$2</f>
        <v>9.2190129455136077E-2</v>
      </c>
      <c r="J13" s="17">
        <f>(C247-$C$2)/$C$2</f>
        <v>6.2871119308592627E-2</v>
      </c>
    </row>
    <row r="14" spans="1:18">
      <c r="A14" s="12">
        <v>45644</v>
      </c>
      <c r="B14" s="44">
        <v>15.2479</v>
      </c>
      <c r="C14" s="35">
        <v>13759.3</v>
      </c>
      <c r="D14" s="17">
        <f t="shared" si="0"/>
        <v>-7.1477240870440138E-3</v>
      </c>
      <c r="E14" s="17">
        <f t="shared" si="1"/>
        <v>-2.279681045976254E-3</v>
      </c>
      <c r="F14" s="7"/>
      <c r="H14" s="1"/>
    </row>
    <row r="15" spans="1:18">
      <c r="A15" s="14">
        <v>45645</v>
      </c>
      <c r="B15" s="45">
        <v>15.2241</v>
      </c>
      <c r="C15" s="35">
        <v>13638.15</v>
      </c>
      <c r="D15" s="17">
        <f t="shared" si="0"/>
        <v>-8.8439464000110678E-3</v>
      </c>
      <c r="E15" s="17">
        <f t="shared" si="1"/>
        <v>-1.5620901049870333E-3</v>
      </c>
      <c r="F15" s="7"/>
      <c r="H15" s="1"/>
    </row>
    <row r="16" spans="1:18">
      <c r="A16" s="12">
        <v>45646</v>
      </c>
      <c r="B16" s="44">
        <v>15.110200000000001</v>
      </c>
      <c r="C16" s="35">
        <v>13373.9</v>
      </c>
      <c r="D16" s="17">
        <f t="shared" si="0"/>
        <v>-1.9565966308858606E-2</v>
      </c>
      <c r="E16" s="17">
        <f t="shared" si="1"/>
        <v>-7.5096860837858201E-3</v>
      </c>
      <c r="F16" s="7"/>
    </row>
    <row r="17" spans="1:6">
      <c r="A17" s="14">
        <v>45649</v>
      </c>
      <c r="B17" s="45">
        <v>15.153600000000001</v>
      </c>
      <c r="C17" s="35">
        <v>13449.75</v>
      </c>
      <c r="D17" s="17">
        <f t="shared" si="0"/>
        <v>5.6554721052303018E-3</v>
      </c>
      <c r="E17" s="17">
        <f t="shared" si="1"/>
        <v>2.8681150252776347E-3</v>
      </c>
      <c r="F17" s="7"/>
    </row>
    <row r="18" spans="1:6">
      <c r="A18" s="12">
        <v>45650</v>
      </c>
      <c r="B18" s="44">
        <v>15.1668</v>
      </c>
      <c r="C18" s="35">
        <v>13436</v>
      </c>
      <c r="D18" s="17">
        <f t="shared" si="0"/>
        <v>-1.0228467644599053E-3</v>
      </c>
      <c r="E18" s="17">
        <f t="shared" si="1"/>
        <v>8.7070096924389095E-4</v>
      </c>
      <c r="F18" s="7"/>
    </row>
    <row r="19" spans="1:6">
      <c r="A19" s="14">
        <v>45652</v>
      </c>
      <c r="B19" s="45">
        <v>15.1572</v>
      </c>
      <c r="C19" s="35">
        <v>13456.35</v>
      </c>
      <c r="D19" s="17">
        <f t="shared" si="0"/>
        <v>1.5134418438192308E-3</v>
      </c>
      <c r="E19" s="17">
        <f t="shared" si="1"/>
        <v>-6.3316187315106765E-4</v>
      </c>
      <c r="F19" s="7"/>
    </row>
    <row r="20" spans="1:6">
      <c r="A20" s="12">
        <v>45653</v>
      </c>
      <c r="B20" s="44">
        <v>15.154</v>
      </c>
      <c r="C20" s="35">
        <v>13459.75</v>
      </c>
      <c r="D20" s="17">
        <f t="shared" si="0"/>
        <v>2.5263689896262714E-4</v>
      </c>
      <c r="E20" s="17">
        <f t="shared" si="1"/>
        <v>-2.1114307661117526E-4</v>
      </c>
      <c r="F20" s="7"/>
    </row>
    <row r="21" spans="1:6">
      <c r="A21" s="14">
        <v>45656</v>
      </c>
      <c r="B21" s="45">
        <v>15.135999999999999</v>
      </c>
      <c r="C21" s="35">
        <v>13408.85</v>
      </c>
      <c r="D21" s="17">
        <f t="shared" si="0"/>
        <v>-3.7888137744114363E-3</v>
      </c>
      <c r="E21" s="17">
        <f t="shared" si="1"/>
        <v>-1.1885111996591815E-3</v>
      </c>
      <c r="F21" s="7"/>
    </row>
    <row r="22" spans="1:6">
      <c r="A22" s="12">
        <v>45657</v>
      </c>
      <c r="B22" s="44">
        <v>15.1661</v>
      </c>
      <c r="C22" s="35">
        <v>13406.95</v>
      </c>
      <c r="D22" s="17">
        <f t="shared" si="0"/>
        <v>-1.4170750103890056E-4</v>
      </c>
      <c r="E22" s="17">
        <f t="shared" si="1"/>
        <v>1.9866616439091866E-3</v>
      </c>
      <c r="F22" s="7"/>
    </row>
    <row r="23" spans="1:6">
      <c r="A23" s="14">
        <v>45658</v>
      </c>
      <c r="B23" s="45">
        <v>15.186299999999999</v>
      </c>
      <c r="C23" s="35">
        <v>13462.45</v>
      </c>
      <c r="D23" s="17">
        <f t="shared" si="0"/>
        <v>4.131099237804952E-3</v>
      </c>
      <c r="E23" s="17">
        <f t="shared" si="1"/>
        <v>1.3310316800165492E-3</v>
      </c>
      <c r="F23" s="7"/>
    </row>
    <row r="24" spans="1:6">
      <c r="A24" s="12">
        <v>45659</v>
      </c>
      <c r="B24" s="44">
        <v>15.263199999999999</v>
      </c>
      <c r="C24" s="35">
        <v>13685.05</v>
      </c>
      <c r="D24" s="17">
        <f t="shared" si="0"/>
        <v>1.6399667666152147E-2</v>
      </c>
      <c r="E24" s="17">
        <f t="shared" si="1"/>
        <v>5.0509967975154611E-3</v>
      </c>
      <c r="F24" s="7"/>
    </row>
    <row r="25" spans="1:6">
      <c r="A25" s="14">
        <v>45660</v>
      </c>
      <c r="B25" s="45">
        <v>15.2453</v>
      </c>
      <c r="C25" s="35">
        <v>13610.5</v>
      </c>
      <c r="D25" s="17">
        <f t="shared" si="0"/>
        <v>-5.462442439899913E-3</v>
      </c>
      <c r="E25" s="17">
        <f t="shared" si="1"/>
        <v>-1.1734436012245161E-3</v>
      </c>
      <c r="F25" s="7"/>
    </row>
    <row r="26" spans="1:6">
      <c r="A26" s="12">
        <v>45663</v>
      </c>
      <c r="B26" s="44">
        <v>15.138400000000001</v>
      </c>
      <c r="C26" s="35">
        <v>13331.8</v>
      </c>
      <c r="D26" s="17">
        <f t="shared" si="0"/>
        <v>-2.0689394848615521E-2</v>
      </c>
      <c r="E26" s="17">
        <f t="shared" si="1"/>
        <v>-7.0366967220356824E-3</v>
      </c>
      <c r="F26" s="7"/>
    </row>
    <row r="27" spans="1:6">
      <c r="A27" s="14">
        <v>45664</v>
      </c>
      <c r="B27" s="45">
        <v>15.164300000000001</v>
      </c>
      <c r="C27" s="35">
        <v>13385.55</v>
      </c>
      <c r="D27" s="17">
        <f t="shared" si="0"/>
        <v>4.0236080685470878E-3</v>
      </c>
      <c r="E27" s="17">
        <f t="shared" si="1"/>
        <v>1.7094190489227161E-3</v>
      </c>
      <c r="F27" s="7"/>
    </row>
    <row r="28" spans="1:6">
      <c r="A28" s="12">
        <v>45665</v>
      </c>
      <c r="B28" s="44">
        <v>15.142899999999999</v>
      </c>
      <c r="C28" s="35">
        <v>13337.5</v>
      </c>
      <c r="D28" s="17">
        <f t="shared" si="0"/>
        <v>-3.5961502734949361E-3</v>
      </c>
      <c r="E28" s="17">
        <f t="shared" si="1"/>
        <v>-1.4122059151982403E-3</v>
      </c>
      <c r="F28" s="7"/>
    </row>
    <row r="29" spans="1:6">
      <c r="A29" s="14">
        <v>45666</v>
      </c>
      <c r="B29" s="45">
        <v>15.0854</v>
      </c>
      <c r="C29" s="35">
        <v>13228.5</v>
      </c>
      <c r="D29" s="17">
        <f t="shared" si="0"/>
        <v>-8.2060236136636214E-3</v>
      </c>
      <c r="E29" s="17">
        <f t="shared" si="1"/>
        <v>-3.8043865749304556E-3</v>
      </c>
      <c r="F29" s="7"/>
    </row>
    <row r="30" spans="1:6">
      <c r="A30" s="12">
        <v>45667</v>
      </c>
      <c r="B30" s="44">
        <v>15.0503</v>
      </c>
      <c r="C30" s="35">
        <v>13105.35</v>
      </c>
      <c r="D30" s="17">
        <f t="shared" si="0"/>
        <v>-9.3530492318720064E-3</v>
      </c>
      <c r="E30" s="17">
        <f t="shared" si="1"/>
        <v>-2.3294641154662501E-3</v>
      </c>
      <c r="F30" s="7"/>
    </row>
    <row r="31" spans="1:6">
      <c r="A31" s="14">
        <v>45670</v>
      </c>
      <c r="B31" s="45">
        <v>14.921900000000001</v>
      </c>
      <c r="C31" s="35">
        <v>12799.6</v>
      </c>
      <c r="D31" s="17">
        <f t="shared" si="0"/>
        <v>-2.3606623345055956E-2</v>
      </c>
      <c r="E31" s="17">
        <f t="shared" si="1"/>
        <v>-8.5679920387062118E-3</v>
      </c>
      <c r="F31" s="7"/>
    </row>
    <row r="32" spans="1:6">
      <c r="A32" s="12">
        <v>45671</v>
      </c>
      <c r="B32" s="44">
        <v>14.981299999999999</v>
      </c>
      <c r="C32" s="35">
        <v>12935.25</v>
      </c>
      <c r="D32" s="17">
        <f t="shared" si="0"/>
        <v>1.0542222420202536E-2</v>
      </c>
      <c r="E32" s="17">
        <f t="shared" si="1"/>
        <v>3.9728241878775874E-3</v>
      </c>
      <c r="F32" s="7"/>
    </row>
    <row r="33" spans="1:6">
      <c r="A33" s="14">
        <v>45672</v>
      </c>
      <c r="B33" s="45">
        <v>15.0015</v>
      </c>
      <c r="C33" s="35">
        <v>12975.4</v>
      </c>
      <c r="D33" s="17">
        <f t="shared" si="0"/>
        <v>3.0991142356584889E-3</v>
      </c>
      <c r="E33" s="17">
        <f t="shared" si="1"/>
        <v>1.3474394023406655E-3</v>
      </c>
      <c r="F33" s="7"/>
    </row>
    <row r="34" spans="1:6">
      <c r="A34" s="12">
        <v>45673</v>
      </c>
      <c r="B34" s="44">
        <v>15.0624</v>
      </c>
      <c r="C34" s="35">
        <v>13064.95</v>
      </c>
      <c r="D34" s="17">
        <f t="shared" si="0"/>
        <v>6.8778148533594399E-3</v>
      </c>
      <c r="E34" s="17">
        <f t="shared" si="1"/>
        <v>4.0513761221426395E-3</v>
      </c>
      <c r="F34" s="7"/>
    </row>
    <row r="35" spans="1:6">
      <c r="A35" s="14">
        <v>45674</v>
      </c>
      <c r="B35" s="45">
        <v>15.0647</v>
      </c>
      <c r="C35" s="35">
        <v>13043.55</v>
      </c>
      <c r="D35" s="17">
        <f t="shared" si="0"/>
        <v>-1.6393132345740933E-3</v>
      </c>
      <c r="E35" s="17">
        <f t="shared" si="1"/>
        <v>1.5268645202943894E-4</v>
      </c>
      <c r="F35" s="7"/>
    </row>
    <row r="36" spans="1:6">
      <c r="A36" s="12">
        <v>45677</v>
      </c>
      <c r="B36" s="44">
        <v>15.1027</v>
      </c>
      <c r="C36" s="35">
        <v>13119.45</v>
      </c>
      <c r="D36" s="17">
        <f t="shared" si="0"/>
        <v>5.802103193610947E-3</v>
      </c>
      <c r="E36" s="17">
        <f t="shared" si="1"/>
        <v>2.519277106947312E-3</v>
      </c>
      <c r="F36" s="7"/>
    </row>
    <row r="37" spans="1:6">
      <c r="A37" s="14">
        <v>45678</v>
      </c>
      <c r="B37" s="45">
        <v>15.027100000000001</v>
      </c>
      <c r="C37" s="35">
        <v>12893.9</v>
      </c>
      <c r="D37" s="17">
        <f t="shared" si="0"/>
        <v>-1.7341530592398118E-2</v>
      </c>
      <c r="E37" s="17">
        <f t="shared" si="1"/>
        <v>-5.0182980739879521E-3</v>
      </c>
      <c r="F37" s="7"/>
    </row>
    <row r="38" spans="1:6">
      <c r="A38" s="12">
        <v>45679</v>
      </c>
      <c r="B38" s="44">
        <v>15.0097</v>
      </c>
      <c r="C38" s="35">
        <v>12897.7</v>
      </c>
      <c r="D38" s="17">
        <f t="shared" si="0"/>
        <v>2.9466958447686448E-4</v>
      </c>
      <c r="E38" s="17">
        <f t="shared" si="1"/>
        <v>-1.1585789395903029E-3</v>
      </c>
      <c r="F38" s="7"/>
    </row>
    <row r="39" spans="1:6">
      <c r="A39" s="14">
        <v>45680</v>
      </c>
      <c r="B39" s="45">
        <v>15.040800000000001</v>
      </c>
      <c r="C39" s="35">
        <v>12976.35</v>
      </c>
      <c r="D39" s="17">
        <f t="shared" si="0"/>
        <v>6.079468984676005E-3</v>
      </c>
      <c r="E39" s="17">
        <f t="shared" si="1"/>
        <v>2.0698498263537505E-3</v>
      </c>
      <c r="F39" s="7"/>
    </row>
    <row r="40" spans="1:6">
      <c r="A40" s="12">
        <v>45681</v>
      </c>
      <c r="B40" s="44">
        <v>14.992900000000001</v>
      </c>
      <c r="C40" s="35">
        <v>12868.5</v>
      </c>
      <c r="D40" s="17">
        <f t="shared" si="0"/>
        <v>-8.3460051832994903E-3</v>
      </c>
      <c r="E40" s="17">
        <f t="shared" si="1"/>
        <v>-3.1897528851456362E-3</v>
      </c>
      <c r="F40" s="7"/>
    </row>
    <row r="41" spans="1:6">
      <c r="A41" s="14">
        <v>45684</v>
      </c>
      <c r="B41" s="45">
        <v>14.8726</v>
      </c>
      <c r="C41" s="35">
        <v>12654.75</v>
      </c>
      <c r="D41" s="17">
        <f t="shared" si="0"/>
        <v>-1.6749825934573109E-2</v>
      </c>
      <c r="E41" s="17">
        <f t="shared" si="1"/>
        <v>-8.0561618348445659E-3</v>
      </c>
      <c r="F41" s="7"/>
    </row>
    <row r="42" spans="1:6">
      <c r="A42" s="12">
        <v>45685</v>
      </c>
      <c r="B42" s="44">
        <v>14.9057</v>
      </c>
      <c r="C42" s="35">
        <v>12698.1</v>
      </c>
      <c r="D42" s="17">
        <f t="shared" si="0"/>
        <v>3.4197372087749435E-3</v>
      </c>
      <c r="E42" s="17">
        <f t="shared" si="1"/>
        <v>2.2230962568120681E-3</v>
      </c>
      <c r="F42" s="7"/>
    </row>
    <row r="43" spans="1:6">
      <c r="A43" s="14">
        <v>45686</v>
      </c>
      <c r="B43" s="45">
        <v>14.9742</v>
      </c>
      <c r="C43" s="35">
        <v>12862.5</v>
      </c>
      <c r="D43" s="17">
        <f t="shared" si="0"/>
        <v>1.2863725186973721E-2</v>
      </c>
      <c r="E43" s="17">
        <f t="shared" si="1"/>
        <v>4.5850300706092939E-3</v>
      </c>
      <c r="F43" s="7"/>
    </row>
    <row r="44" spans="1:6">
      <c r="A44" s="12">
        <v>45687</v>
      </c>
      <c r="B44" s="44">
        <v>14.9918</v>
      </c>
      <c r="C44" s="35">
        <v>12896.75</v>
      </c>
      <c r="D44" s="17">
        <f t="shared" si="0"/>
        <v>2.6592404812567851E-3</v>
      </c>
      <c r="E44" s="17">
        <f t="shared" si="1"/>
        <v>1.174664754973017E-3</v>
      </c>
      <c r="F44" s="7"/>
    </row>
    <row r="45" spans="1:6">
      <c r="A45" s="14">
        <v>45688</v>
      </c>
      <c r="B45" s="45">
        <v>15.081200000000001</v>
      </c>
      <c r="C45" s="35">
        <v>13064.55</v>
      </c>
      <c r="D45" s="17">
        <f t="shared" si="0"/>
        <v>1.2927113569199736E-2</v>
      </c>
      <c r="E45" s="17">
        <f t="shared" si="1"/>
        <v>5.9455500518144295E-3</v>
      </c>
      <c r="F45" s="7"/>
    </row>
    <row r="46" spans="1:6">
      <c r="A46" s="12">
        <v>45691</v>
      </c>
      <c r="B46" s="44">
        <v>14.9724</v>
      </c>
      <c r="C46" s="35">
        <v>12963.85</v>
      </c>
      <c r="D46" s="17">
        <f t="shared" si="0"/>
        <v>-7.737740501193636E-3</v>
      </c>
      <c r="E46" s="17">
        <f t="shared" si="1"/>
        <v>-7.2404287878182734E-3</v>
      </c>
      <c r="F46" s="7"/>
    </row>
    <row r="47" spans="1:6">
      <c r="A47" s="14">
        <v>45692</v>
      </c>
      <c r="B47" s="45">
        <v>15.096399999999999</v>
      </c>
      <c r="C47" s="35">
        <v>13170.85</v>
      </c>
      <c r="D47" s="17">
        <f t="shared" si="0"/>
        <v>1.5841339585729513E-2</v>
      </c>
      <c r="E47" s="17">
        <f t="shared" si="1"/>
        <v>8.2477985776890674E-3</v>
      </c>
      <c r="F47" s="7"/>
    </row>
    <row r="48" spans="1:6">
      <c r="A48" s="12">
        <v>45693</v>
      </c>
      <c r="B48" s="44">
        <v>15.1046</v>
      </c>
      <c r="C48" s="35">
        <v>13182.15</v>
      </c>
      <c r="D48" s="17">
        <f t="shared" si="0"/>
        <v>8.5758742401650858E-4</v>
      </c>
      <c r="E48" s="17">
        <f t="shared" si="1"/>
        <v>5.4302838988779239E-4</v>
      </c>
      <c r="F48" s="7"/>
    </row>
    <row r="49" spans="1:6">
      <c r="A49" s="14">
        <v>45694</v>
      </c>
      <c r="B49" s="45">
        <v>15.115399999999999</v>
      </c>
      <c r="C49" s="35">
        <v>13104.45</v>
      </c>
      <c r="D49" s="17">
        <f t="shared" si="0"/>
        <v>-5.9117745387496498E-3</v>
      </c>
      <c r="E49" s="17">
        <f t="shared" si="1"/>
        <v>7.1475846855012092E-4</v>
      </c>
      <c r="F49" s="7"/>
    </row>
    <row r="50" spans="1:6">
      <c r="A50" s="12">
        <v>45695</v>
      </c>
      <c r="B50" s="44">
        <v>15.1173</v>
      </c>
      <c r="C50" s="35">
        <v>13092.85</v>
      </c>
      <c r="D50" s="17">
        <f t="shared" si="0"/>
        <v>-8.8558750391250782E-4</v>
      </c>
      <c r="E50" s="17">
        <f t="shared" si="1"/>
        <v>1.2569171807370414E-4</v>
      </c>
      <c r="F50" s="7"/>
    </row>
    <row r="51" spans="1:6">
      <c r="A51" s="14">
        <v>45698</v>
      </c>
      <c r="B51" s="45">
        <v>15.0488</v>
      </c>
      <c r="C51" s="35">
        <v>12943.05</v>
      </c>
      <c r="D51" s="17">
        <f t="shared" si="0"/>
        <v>-1.1507315131656705E-2</v>
      </c>
      <c r="E51" s="17">
        <f t="shared" si="1"/>
        <v>-4.5415295803658924E-3</v>
      </c>
      <c r="F51" s="7"/>
    </row>
    <row r="52" spans="1:6">
      <c r="A52" s="12">
        <v>45699</v>
      </c>
      <c r="B52" s="44">
        <v>14.915699999999999</v>
      </c>
      <c r="C52" s="35">
        <v>12712.75</v>
      </c>
      <c r="D52" s="17">
        <f t="shared" si="0"/>
        <v>-1.7953537680164326E-2</v>
      </c>
      <c r="E52" s="17">
        <f t="shared" si="1"/>
        <v>-8.8839043130932351E-3</v>
      </c>
      <c r="F52" s="7"/>
    </row>
    <row r="53" spans="1:6">
      <c r="A53" s="14">
        <v>45700</v>
      </c>
      <c r="B53" s="45">
        <v>14.9297</v>
      </c>
      <c r="C53" s="35">
        <v>12697.25</v>
      </c>
      <c r="D53" s="17">
        <f t="shared" si="0"/>
        <v>-1.2199922804007933E-3</v>
      </c>
      <c r="E53" s="17">
        <f t="shared" si="1"/>
        <v>9.3816809470490957E-4</v>
      </c>
      <c r="F53" s="7"/>
    </row>
    <row r="54" spans="1:6">
      <c r="A54" s="12">
        <v>45701</v>
      </c>
      <c r="B54" s="44">
        <v>14.946400000000001</v>
      </c>
      <c r="C54" s="35">
        <v>12700.8</v>
      </c>
      <c r="D54" s="17">
        <f t="shared" si="0"/>
        <v>2.795490223160227E-4</v>
      </c>
      <c r="E54" s="17">
        <f t="shared" si="1"/>
        <v>1.1179505852050601E-3</v>
      </c>
      <c r="F54" s="7"/>
    </row>
    <row r="55" spans="1:6">
      <c r="A55" s="14">
        <v>45702</v>
      </c>
      <c r="B55" s="45">
        <v>14.885</v>
      </c>
      <c r="C55" s="35">
        <v>12569.35</v>
      </c>
      <c r="D55" s="17">
        <f t="shared" si="0"/>
        <v>-1.0403672763121817E-2</v>
      </c>
      <c r="E55" s="17">
        <f t="shared" si="1"/>
        <v>-4.1164736957509948E-3</v>
      </c>
      <c r="F55" s="7"/>
    </row>
    <row r="56" spans="1:6">
      <c r="A56" s="12">
        <v>45705</v>
      </c>
      <c r="B56" s="44">
        <v>14.894299999999999</v>
      </c>
      <c r="C56" s="35">
        <v>12585.5</v>
      </c>
      <c r="D56" s="17">
        <f t="shared" si="0"/>
        <v>1.2840467916903841E-3</v>
      </c>
      <c r="E56" s="17">
        <f t="shared" si="1"/>
        <v>6.2459495705678497E-4</v>
      </c>
      <c r="F56" s="7"/>
    </row>
    <row r="57" spans="1:6">
      <c r="A57" s="14">
        <v>45706</v>
      </c>
      <c r="B57" s="45">
        <v>14.9057</v>
      </c>
      <c r="C57" s="35">
        <v>12576.15</v>
      </c>
      <c r="D57" s="17">
        <f t="shared" si="0"/>
        <v>-7.4319453854286663E-4</v>
      </c>
      <c r="E57" s="17">
        <f t="shared" si="1"/>
        <v>7.6510070846380856E-4</v>
      </c>
      <c r="F57" s="7"/>
    </row>
    <row r="58" spans="1:6">
      <c r="A58" s="12">
        <v>45707</v>
      </c>
      <c r="B58" s="44">
        <v>14.916600000000001</v>
      </c>
      <c r="C58" s="35">
        <v>12624.75</v>
      </c>
      <c r="D58" s="17">
        <f t="shared" si="0"/>
        <v>3.8570098885288978E-3</v>
      </c>
      <c r="E58" s="17">
        <f t="shared" si="1"/>
        <v>7.309966357642438E-4</v>
      </c>
      <c r="F58" s="7"/>
    </row>
    <row r="59" spans="1:6">
      <c r="A59" s="14">
        <v>45708</v>
      </c>
      <c r="B59" s="45">
        <v>14.9411</v>
      </c>
      <c r="C59" s="35">
        <v>12670.15</v>
      </c>
      <c r="D59" s="17">
        <f t="shared" si="0"/>
        <v>3.5896602675431137E-3</v>
      </c>
      <c r="E59" s="17">
        <f t="shared" si="1"/>
        <v>1.6411180699623484E-3</v>
      </c>
      <c r="F59" s="7"/>
    </row>
    <row r="60" spans="1:6">
      <c r="A60" s="12">
        <v>45709</v>
      </c>
      <c r="B60" s="44">
        <v>14.9054</v>
      </c>
      <c r="C60" s="35">
        <v>12580.35</v>
      </c>
      <c r="D60" s="17">
        <f t="shared" si="0"/>
        <v>-7.1127604278487253E-3</v>
      </c>
      <c r="E60" s="17">
        <f t="shared" si="1"/>
        <v>-2.3922414370452522E-3</v>
      </c>
      <c r="F60" s="7"/>
    </row>
    <row r="61" spans="1:6">
      <c r="A61" s="14">
        <v>45712</v>
      </c>
      <c r="B61" s="45">
        <v>14.8499</v>
      </c>
      <c r="C61" s="35">
        <v>12447</v>
      </c>
      <c r="D61" s="17">
        <f t="shared" si="0"/>
        <v>-1.0656442806017585E-2</v>
      </c>
      <c r="E61" s="17">
        <f t="shared" si="1"/>
        <v>-3.7304321826403886E-3</v>
      </c>
      <c r="F61" s="7"/>
    </row>
    <row r="62" spans="1:6">
      <c r="A62" s="12">
        <v>45713</v>
      </c>
      <c r="B62" s="44">
        <v>14.8226</v>
      </c>
      <c r="C62" s="35">
        <v>12418.65</v>
      </c>
      <c r="D62" s="17">
        <f t="shared" si="0"/>
        <v>-2.2802550734822573E-3</v>
      </c>
      <c r="E62" s="17">
        <f t="shared" si="1"/>
        <v>-1.8400881424199688E-3</v>
      </c>
      <c r="F62" s="7"/>
    </row>
    <row r="63" spans="1:6">
      <c r="A63" s="14">
        <v>45715</v>
      </c>
      <c r="B63" s="45">
        <v>14.8149</v>
      </c>
      <c r="C63" s="35">
        <v>12377.95</v>
      </c>
      <c r="D63" s="17">
        <f t="shared" si="0"/>
        <v>-3.282711061132826E-3</v>
      </c>
      <c r="E63" s="17">
        <f t="shared" si="1"/>
        <v>-5.1961198975942536E-4</v>
      </c>
      <c r="F63" s="7"/>
    </row>
    <row r="64" spans="1:6">
      <c r="A64" s="12">
        <v>45716</v>
      </c>
      <c r="B64" s="44">
        <v>14.665100000000001</v>
      </c>
      <c r="C64" s="35">
        <v>12116.15</v>
      </c>
      <c r="D64" s="17">
        <f t="shared" si="0"/>
        <v>-2.1377390472331073E-2</v>
      </c>
      <c r="E64" s="17">
        <f t="shared" si="1"/>
        <v>-1.0162909724256614E-2</v>
      </c>
      <c r="F64" s="7"/>
    </row>
    <row r="65" spans="1:6">
      <c r="A65" s="14">
        <v>45719</v>
      </c>
      <c r="B65" s="45">
        <v>14.6454</v>
      </c>
      <c r="C65" s="35">
        <v>12134.65</v>
      </c>
      <c r="D65" s="17">
        <f t="shared" si="0"/>
        <v>1.5257231587197768E-3</v>
      </c>
      <c r="E65" s="17">
        <f t="shared" si="1"/>
        <v>-1.3442283800282906E-3</v>
      </c>
      <c r="F65" s="7"/>
    </row>
    <row r="66" spans="1:6">
      <c r="A66" s="12">
        <v>45720</v>
      </c>
      <c r="B66" s="44">
        <v>14.6463</v>
      </c>
      <c r="C66" s="35">
        <v>12131.4</v>
      </c>
      <c r="D66" s="17">
        <f t="shared" si="0"/>
        <v>-2.6786395144106642E-4</v>
      </c>
      <c r="E66" s="17">
        <f t="shared" si="1"/>
        <v>6.1450854698192364E-5</v>
      </c>
      <c r="F66" s="7"/>
    </row>
    <row r="67" spans="1:6">
      <c r="A67" s="14">
        <v>45721</v>
      </c>
      <c r="B67" s="45">
        <v>14.7735</v>
      </c>
      <c r="C67" s="35">
        <v>12320.75</v>
      </c>
      <c r="D67" s="17">
        <f t="shared" si="0"/>
        <v>1.5487700256670886E-2</v>
      </c>
      <c r="E67" s="17">
        <f t="shared" si="1"/>
        <v>8.6472914581945948E-3</v>
      </c>
      <c r="F67" s="7"/>
    </row>
    <row r="68" spans="1:6">
      <c r="A68" s="12">
        <v>45722</v>
      </c>
      <c r="B68" s="44">
        <v>14.8469</v>
      </c>
      <c r="C68" s="35">
        <v>12427.45</v>
      </c>
      <c r="D68" s="17">
        <f t="shared" ref="D68:D131" si="2">LN(C68/C67)</f>
        <v>8.622902767408144E-3</v>
      </c>
      <c r="E68" s="17">
        <f t="shared" ref="E68:E131" si="3">LN(B68/B67)</f>
        <v>4.9560539520318841E-3</v>
      </c>
      <c r="F68" s="7"/>
    </row>
    <row r="69" spans="1:6">
      <c r="A69" s="14">
        <v>45723</v>
      </c>
      <c r="B69" s="45">
        <v>14.854699999999999</v>
      </c>
      <c r="C69" s="35">
        <v>12416</v>
      </c>
      <c r="D69" s="17">
        <f t="shared" si="2"/>
        <v>-9.2177220238907941E-4</v>
      </c>
      <c r="E69" s="17">
        <f t="shared" si="3"/>
        <v>5.2522424241851161E-4</v>
      </c>
      <c r="F69" s="7"/>
    </row>
    <row r="70" spans="1:6">
      <c r="A70" s="12">
        <v>45726</v>
      </c>
      <c r="B70" s="44">
        <v>14.817299999999999</v>
      </c>
      <c r="C70" s="35">
        <v>12323.4</v>
      </c>
      <c r="D70" s="17">
        <f t="shared" si="2"/>
        <v>-7.4860693833419907E-3</v>
      </c>
      <c r="E70" s="17">
        <f t="shared" si="3"/>
        <v>-2.5208964549852495E-3</v>
      </c>
      <c r="F70" s="7"/>
    </row>
    <row r="71" spans="1:6">
      <c r="A71" s="14">
        <v>45727</v>
      </c>
      <c r="B71" s="45">
        <v>14.828900000000001</v>
      </c>
      <c r="C71" s="35">
        <v>12360.1</v>
      </c>
      <c r="D71" s="17">
        <f t="shared" si="2"/>
        <v>2.9736485541816842E-3</v>
      </c>
      <c r="E71" s="17">
        <f t="shared" si="3"/>
        <v>7.8256239194176647E-4</v>
      </c>
      <c r="F71" s="7"/>
    </row>
    <row r="72" spans="1:6">
      <c r="A72" s="12">
        <v>45728</v>
      </c>
      <c r="B72" s="44">
        <v>14.8239</v>
      </c>
      <c r="C72" s="35">
        <v>12338.45</v>
      </c>
      <c r="D72" s="17">
        <f t="shared" si="2"/>
        <v>-1.7531398033571609E-3</v>
      </c>
      <c r="E72" s="17">
        <f t="shared" si="3"/>
        <v>-3.3723628442420303E-4</v>
      </c>
      <c r="F72" s="7"/>
    </row>
    <row r="73" spans="1:6">
      <c r="A73" s="14">
        <v>45729</v>
      </c>
      <c r="B73" s="45">
        <v>14.8093</v>
      </c>
      <c r="C73" s="35">
        <v>12286.6</v>
      </c>
      <c r="D73" s="17">
        <f t="shared" si="2"/>
        <v>-4.2111651854723018E-3</v>
      </c>
      <c r="E73" s="17">
        <f t="shared" si="3"/>
        <v>-9.8538134128976274E-4</v>
      </c>
      <c r="F73" s="7"/>
    </row>
    <row r="74" spans="1:6">
      <c r="A74" s="12">
        <v>45733</v>
      </c>
      <c r="B74" s="44">
        <v>14.8264</v>
      </c>
      <c r="C74" s="35">
        <v>12355.95</v>
      </c>
      <c r="D74" s="17">
        <f t="shared" si="2"/>
        <v>5.6284908082463751E-3</v>
      </c>
      <c r="E74" s="17">
        <f t="shared" si="3"/>
        <v>1.1540136995407402E-3</v>
      </c>
      <c r="F74" s="7"/>
    </row>
    <row r="75" spans="1:6">
      <c r="A75" s="14">
        <v>45734</v>
      </c>
      <c r="B75" s="45">
        <v>14.9153</v>
      </c>
      <c r="C75" s="35">
        <v>12570.6</v>
      </c>
      <c r="D75" s="17">
        <f t="shared" si="2"/>
        <v>1.7223025728764912E-2</v>
      </c>
      <c r="E75" s="17">
        <f t="shared" si="3"/>
        <v>5.9781562426805728E-3</v>
      </c>
      <c r="F75" s="7"/>
    </row>
    <row r="76" spans="1:6">
      <c r="A76" s="12">
        <v>45735</v>
      </c>
      <c r="B76" s="44">
        <v>14.9779</v>
      </c>
      <c r="C76" s="35">
        <v>12681.65</v>
      </c>
      <c r="D76" s="17">
        <f t="shared" si="2"/>
        <v>8.7953125664833008E-3</v>
      </c>
      <c r="E76" s="17">
        <f t="shared" si="3"/>
        <v>4.1882496024374365E-3</v>
      </c>
      <c r="F76" s="7"/>
    </row>
    <row r="77" spans="1:6">
      <c r="A77" s="14">
        <v>45736</v>
      </c>
      <c r="B77" s="45">
        <v>15.0642</v>
      </c>
      <c r="C77" s="35">
        <v>12813.55</v>
      </c>
      <c r="D77" s="17">
        <f t="shared" si="2"/>
        <v>1.0347138033953448E-2</v>
      </c>
      <c r="E77" s="17">
        <f t="shared" si="3"/>
        <v>5.7452866067746041E-3</v>
      </c>
      <c r="F77" s="7"/>
    </row>
    <row r="78" spans="1:6">
      <c r="A78" s="12">
        <v>45737</v>
      </c>
      <c r="B78" s="44">
        <v>15.151400000000001</v>
      </c>
      <c r="C78" s="35">
        <v>12919.9</v>
      </c>
      <c r="D78" s="17">
        <f t="shared" si="2"/>
        <v>8.2655536261004078E-3</v>
      </c>
      <c r="E78" s="17">
        <f t="shared" si="3"/>
        <v>5.7718689739753529E-3</v>
      </c>
      <c r="F78" s="7"/>
    </row>
    <row r="79" spans="1:6">
      <c r="A79" s="14">
        <v>45740</v>
      </c>
      <c r="B79" s="45">
        <v>15.2562</v>
      </c>
      <c r="C79" s="35">
        <v>13088.45</v>
      </c>
      <c r="D79" s="17">
        <f t="shared" si="2"/>
        <v>1.2961403523486847E-2</v>
      </c>
      <c r="E79" s="17">
        <f t="shared" si="3"/>
        <v>6.893040881580886E-3</v>
      </c>
      <c r="F79" s="7"/>
    </row>
    <row r="80" spans="1:6">
      <c r="A80" s="12">
        <v>45741</v>
      </c>
      <c r="B80" s="44">
        <v>15.2241</v>
      </c>
      <c r="C80" s="35">
        <v>13041.25</v>
      </c>
      <c r="D80" s="17">
        <f t="shared" si="2"/>
        <v>-3.612751109866621E-3</v>
      </c>
      <c r="E80" s="17">
        <f t="shared" si="3"/>
        <v>-2.1062792602043025E-3</v>
      </c>
      <c r="F80" s="7"/>
    </row>
    <row r="81" spans="1:6">
      <c r="A81" s="14">
        <v>45742</v>
      </c>
      <c r="B81" s="45">
        <v>15.174799999999999</v>
      </c>
      <c r="C81" s="35">
        <v>12951.45</v>
      </c>
      <c r="D81" s="17">
        <f t="shared" si="2"/>
        <v>-6.9096598105993249E-3</v>
      </c>
      <c r="E81" s="17">
        <f t="shared" si="3"/>
        <v>-3.2435412611614089E-3</v>
      </c>
      <c r="F81" s="7"/>
    </row>
    <row r="82" spans="1:6">
      <c r="A82" s="12">
        <v>45743</v>
      </c>
      <c r="B82" s="44">
        <v>15.212300000000001</v>
      </c>
      <c r="C82" s="35">
        <v>13029.2</v>
      </c>
      <c r="D82" s="17">
        <f t="shared" si="2"/>
        <v>5.9852414857826351E-3</v>
      </c>
      <c r="E82" s="17">
        <f t="shared" si="3"/>
        <v>2.4681538571842475E-3</v>
      </c>
      <c r="F82" s="7"/>
    </row>
    <row r="83" spans="1:6">
      <c r="A83" s="14">
        <v>45744</v>
      </c>
      <c r="B83" s="45">
        <v>15.2012</v>
      </c>
      <c r="C83" s="35">
        <v>12982.75</v>
      </c>
      <c r="D83" s="17">
        <f t="shared" si="2"/>
        <v>-3.5714392325956741E-3</v>
      </c>
      <c r="E83" s="17">
        <f t="shared" si="3"/>
        <v>-7.2993903975877004E-4</v>
      </c>
      <c r="F83" s="7"/>
    </row>
    <row r="84" spans="1:6">
      <c r="A84" s="14">
        <v>45748</v>
      </c>
      <c r="B84" s="45">
        <v>15.1427</v>
      </c>
      <c r="C84" s="35">
        <v>12809.3</v>
      </c>
      <c r="D84" s="17">
        <f t="shared" si="2"/>
        <v>-1.3450083635811875E-2</v>
      </c>
      <c r="E84" s="17">
        <f t="shared" si="3"/>
        <v>-3.8558044600541532E-3</v>
      </c>
      <c r="F84" s="7"/>
    </row>
    <row r="85" spans="1:6">
      <c r="A85" s="12">
        <v>45749</v>
      </c>
      <c r="B85" s="44">
        <v>15.2052</v>
      </c>
      <c r="C85" s="35">
        <v>12927.85</v>
      </c>
      <c r="D85" s="17">
        <f t="shared" si="2"/>
        <v>9.2124293818375055E-3</v>
      </c>
      <c r="E85" s="17">
        <f t="shared" si="3"/>
        <v>4.1189069663076488E-3</v>
      </c>
      <c r="F85" s="7"/>
    </row>
    <row r="86" spans="1:6">
      <c r="A86" s="14">
        <v>45750</v>
      </c>
      <c r="B86" s="45">
        <v>15.1907</v>
      </c>
      <c r="C86" s="35">
        <v>12901.25</v>
      </c>
      <c r="D86" s="17">
        <f t="shared" si="2"/>
        <v>-2.0596930906492525E-3</v>
      </c>
      <c r="E86" s="17">
        <f t="shared" si="3"/>
        <v>-9.5407611552204071E-4</v>
      </c>
      <c r="F86" s="7"/>
    </row>
    <row r="87" spans="1:6">
      <c r="A87" s="12">
        <v>45751</v>
      </c>
      <c r="B87" s="44">
        <v>15.0198</v>
      </c>
      <c r="C87" s="35">
        <v>12658.7</v>
      </c>
      <c r="D87" s="17">
        <f t="shared" si="2"/>
        <v>-1.8979480078518098E-2</v>
      </c>
      <c r="E87" s="17">
        <f t="shared" si="3"/>
        <v>-1.1314067827095832E-2</v>
      </c>
      <c r="F87" s="7"/>
    </row>
    <row r="88" spans="1:6">
      <c r="A88" s="14">
        <v>45754</v>
      </c>
      <c r="B88" s="45">
        <v>14.786799999999999</v>
      </c>
      <c r="C88" s="35">
        <v>12242.35</v>
      </c>
      <c r="D88" s="17">
        <f t="shared" si="2"/>
        <v>-3.3443473699641964E-2</v>
      </c>
      <c r="E88" s="17">
        <f t="shared" si="3"/>
        <v>-1.5634439762153583E-2</v>
      </c>
      <c r="F88" s="7"/>
    </row>
    <row r="89" spans="1:6">
      <c r="A89" s="12">
        <v>45755</v>
      </c>
      <c r="B89" s="44">
        <v>14.9002</v>
      </c>
      <c r="C89" s="35">
        <v>12465</v>
      </c>
      <c r="D89" s="17">
        <f t="shared" si="2"/>
        <v>1.8023464855675301E-2</v>
      </c>
      <c r="E89" s="17">
        <f t="shared" si="3"/>
        <v>7.6397447741658507E-3</v>
      </c>
      <c r="F89" s="7"/>
    </row>
    <row r="90" spans="1:6">
      <c r="A90" s="14">
        <v>45756</v>
      </c>
      <c r="B90" s="45">
        <v>14.8652</v>
      </c>
      <c r="C90" s="35">
        <v>12397.95</v>
      </c>
      <c r="D90" s="17">
        <f t="shared" si="2"/>
        <v>-5.3935806124593031E-3</v>
      </c>
      <c r="E90" s="17">
        <f t="shared" si="3"/>
        <v>-2.3517248974274743E-3</v>
      </c>
      <c r="F90" s="7"/>
    </row>
    <row r="91" spans="1:6">
      <c r="A91" s="12">
        <v>45758</v>
      </c>
      <c r="B91" s="44">
        <v>14.999499999999999</v>
      </c>
      <c r="C91" s="35">
        <v>12623.85</v>
      </c>
      <c r="D91" s="17">
        <f t="shared" si="2"/>
        <v>1.8056745540585867E-2</v>
      </c>
      <c r="E91" s="17">
        <f t="shared" si="3"/>
        <v>8.9939564306161651E-3</v>
      </c>
      <c r="F91" s="7"/>
    </row>
    <row r="92" spans="1:6">
      <c r="A92" s="14">
        <v>45762</v>
      </c>
      <c r="B92" s="45">
        <v>15.179500000000001</v>
      </c>
      <c r="C92" s="35">
        <v>12931.7</v>
      </c>
      <c r="D92" s="17">
        <f t="shared" si="2"/>
        <v>2.4093779422592256E-2</v>
      </c>
      <c r="E92" s="17">
        <f t="shared" si="3"/>
        <v>1.1928966135288372E-2</v>
      </c>
      <c r="F92" s="7"/>
    </row>
    <row r="93" spans="1:6">
      <c r="A93" s="12">
        <v>45763</v>
      </c>
      <c r="B93" s="44">
        <v>15.2402</v>
      </c>
      <c r="C93" s="35">
        <v>13001</v>
      </c>
      <c r="D93" s="17">
        <f t="shared" si="2"/>
        <v>5.344616253791656E-3</v>
      </c>
      <c r="E93" s="17">
        <f t="shared" si="3"/>
        <v>3.9908401833723883E-3</v>
      </c>
      <c r="F93" s="7"/>
    </row>
    <row r="94" spans="1:6">
      <c r="A94" s="14">
        <v>45764</v>
      </c>
      <c r="B94" s="45">
        <v>15.3436</v>
      </c>
      <c r="C94" s="35">
        <v>13186.1</v>
      </c>
      <c r="D94" s="17">
        <f t="shared" si="2"/>
        <v>1.4136966883320466E-2</v>
      </c>
      <c r="E94" s="17">
        <f t="shared" si="3"/>
        <v>6.76177544762577E-3</v>
      </c>
      <c r="F94" s="7"/>
    </row>
    <row r="95" spans="1:6">
      <c r="A95" s="12">
        <v>45768</v>
      </c>
      <c r="B95" s="44">
        <v>15.474299999999999</v>
      </c>
      <c r="C95" s="35">
        <v>13378.65</v>
      </c>
      <c r="D95" s="17">
        <f t="shared" si="2"/>
        <v>1.449690828531301E-2</v>
      </c>
      <c r="E95" s="17">
        <f t="shared" si="3"/>
        <v>8.4821343191764549E-3</v>
      </c>
      <c r="F95" s="7"/>
    </row>
    <row r="96" spans="1:6">
      <c r="A96" s="14">
        <v>45769</v>
      </c>
      <c r="B96" s="45">
        <v>15.4945</v>
      </c>
      <c r="C96" s="35">
        <v>13416</v>
      </c>
      <c r="D96" s="17">
        <f t="shared" si="2"/>
        <v>2.7878717722426317E-3</v>
      </c>
      <c r="E96" s="17">
        <f t="shared" si="3"/>
        <v>1.3045389466000584E-3</v>
      </c>
      <c r="F96" s="7"/>
    </row>
    <row r="97" spans="1:6">
      <c r="A97" s="12">
        <v>45770</v>
      </c>
      <c r="B97" s="44">
        <v>15.580299999999999</v>
      </c>
      <c r="C97" s="35">
        <v>13517.55</v>
      </c>
      <c r="D97" s="17">
        <f t="shared" si="2"/>
        <v>7.5408166550959763E-3</v>
      </c>
      <c r="E97" s="17">
        <f t="shared" si="3"/>
        <v>5.5221734675587305E-3</v>
      </c>
      <c r="F97" s="7"/>
    </row>
    <row r="98" spans="1:6">
      <c r="A98" s="14">
        <v>45771</v>
      </c>
      <c r="B98" s="45">
        <v>15.5596</v>
      </c>
      <c r="C98" s="35">
        <v>13480.2</v>
      </c>
      <c r="D98" s="17">
        <f t="shared" si="2"/>
        <v>-2.766899006654713E-3</v>
      </c>
      <c r="E98" s="17">
        <f t="shared" si="3"/>
        <v>-1.3294842339882963E-3</v>
      </c>
      <c r="F98" s="7"/>
    </row>
    <row r="99" spans="1:6">
      <c r="A99" s="12">
        <v>45772</v>
      </c>
      <c r="B99" s="44">
        <v>15.437900000000001</v>
      </c>
      <c r="C99" s="35">
        <v>13296.85</v>
      </c>
      <c r="D99" s="17">
        <f t="shared" si="2"/>
        <v>-1.3694777098424796E-2</v>
      </c>
      <c r="E99" s="17">
        <f t="shared" si="3"/>
        <v>-7.8522864952546602E-3</v>
      </c>
      <c r="F99" s="7"/>
    </row>
    <row r="100" spans="1:6">
      <c r="A100" s="14">
        <v>45775</v>
      </c>
      <c r="B100" s="45">
        <v>15.566000000000001</v>
      </c>
      <c r="C100" s="35">
        <v>13464.6</v>
      </c>
      <c r="D100" s="17">
        <f t="shared" si="2"/>
        <v>1.2536854104524575E-2</v>
      </c>
      <c r="E100" s="17">
        <f t="shared" si="3"/>
        <v>8.2635235535087458E-3</v>
      </c>
      <c r="F100" s="7"/>
    </row>
    <row r="101" spans="1:6">
      <c r="A101" s="12">
        <v>45776</v>
      </c>
      <c r="B101" s="44">
        <v>15.5884</v>
      </c>
      <c r="C101" s="35">
        <v>13469</v>
      </c>
      <c r="D101" s="17">
        <f t="shared" si="2"/>
        <v>3.2672944122885141E-4</v>
      </c>
      <c r="E101" s="17">
        <f t="shared" si="3"/>
        <v>1.4379993747253401E-3</v>
      </c>
      <c r="F101" s="7"/>
    </row>
    <row r="102" spans="1:6">
      <c r="A102" s="14">
        <v>45777</v>
      </c>
      <c r="B102" s="45">
        <v>15.5951</v>
      </c>
      <c r="C102" s="35">
        <v>13438.15</v>
      </c>
      <c r="D102" s="17">
        <f t="shared" si="2"/>
        <v>-2.2930718056649556E-3</v>
      </c>
      <c r="E102" s="17">
        <f t="shared" si="3"/>
        <v>4.2971443892447309E-4</v>
      </c>
      <c r="F102" s="7"/>
    </row>
    <row r="103" spans="1:6">
      <c r="A103" s="12">
        <v>45779</v>
      </c>
      <c r="B103" s="44">
        <v>15.606400000000001</v>
      </c>
      <c r="C103" s="35">
        <v>13423.5</v>
      </c>
      <c r="D103" s="17">
        <f t="shared" si="2"/>
        <v>-1.0907745021272452E-3</v>
      </c>
      <c r="E103" s="17">
        <f t="shared" si="3"/>
        <v>7.2432418275019674E-4</v>
      </c>
      <c r="F103" s="7"/>
    </row>
    <row r="104" spans="1:6">
      <c r="A104" s="14">
        <v>45782</v>
      </c>
      <c r="B104" s="45">
        <v>15.6629</v>
      </c>
      <c r="C104" s="35">
        <v>13535.8</v>
      </c>
      <c r="D104" s="17">
        <f t="shared" si="2"/>
        <v>8.3311250321128714E-3</v>
      </c>
      <c r="E104" s="17">
        <f t="shared" si="3"/>
        <v>3.6137720695858934E-3</v>
      </c>
      <c r="F104" s="7"/>
    </row>
    <row r="105" spans="1:6">
      <c r="A105" s="12">
        <v>45783</v>
      </c>
      <c r="B105" s="44">
        <v>15.5785</v>
      </c>
      <c r="C105" s="35">
        <v>13407.25</v>
      </c>
      <c r="D105" s="17">
        <f t="shared" si="2"/>
        <v>-9.5424219199662357E-3</v>
      </c>
      <c r="E105" s="17">
        <f t="shared" si="3"/>
        <v>-5.4031000740971625E-3</v>
      </c>
      <c r="F105" s="7"/>
    </row>
    <row r="106" spans="1:6">
      <c r="A106" s="14">
        <v>45784</v>
      </c>
      <c r="B106" s="45">
        <v>15.618600000000001</v>
      </c>
      <c r="C106" s="35">
        <v>13464.4</v>
      </c>
      <c r="D106" s="17">
        <f t="shared" si="2"/>
        <v>4.2535598794118338E-3</v>
      </c>
      <c r="E106" s="17">
        <f t="shared" si="3"/>
        <v>2.5707531843864278E-3</v>
      </c>
      <c r="F106" s="7"/>
    </row>
    <row r="107" spans="1:6">
      <c r="A107" s="12">
        <v>45785</v>
      </c>
      <c r="B107" s="44">
        <v>15.5138</v>
      </c>
      <c r="C107" s="35">
        <v>13326.75</v>
      </c>
      <c r="D107" s="17">
        <f t="shared" si="2"/>
        <v>-1.0275871789286954E-2</v>
      </c>
      <c r="E107" s="17">
        <f t="shared" si="3"/>
        <v>-6.7325613096861385E-3</v>
      </c>
      <c r="F107" s="7"/>
    </row>
    <row r="108" spans="1:6">
      <c r="A108" s="14">
        <v>45786</v>
      </c>
      <c r="B108" s="45">
        <v>15.437900000000001</v>
      </c>
      <c r="C108" s="35">
        <v>13217.7</v>
      </c>
      <c r="D108" s="17">
        <f t="shared" si="2"/>
        <v>-8.2164530436568267E-3</v>
      </c>
      <c r="E108" s="17">
        <f t="shared" si="3"/>
        <v>-4.904425420097891E-3</v>
      </c>
      <c r="F108" s="7"/>
    </row>
    <row r="109" spans="1:6">
      <c r="A109" s="12">
        <v>45789</v>
      </c>
      <c r="B109" s="44">
        <v>15.733599999999999</v>
      </c>
      <c r="C109" s="35">
        <v>13733.8</v>
      </c>
      <c r="D109" s="17">
        <f t="shared" si="2"/>
        <v>3.8303107225068238E-2</v>
      </c>
      <c r="E109" s="17">
        <f t="shared" si="3"/>
        <v>1.8973027948619259E-2</v>
      </c>
      <c r="F109" s="7"/>
    </row>
    <row r="110" spans="1:6">
      <c r="A110" s="14">
        <v>45790</v>
      </c>
      <c r="B110" s="45">
        <v>15.6633</v>
      </c>
      <c r="C110" s="35">
        <v>13604.9</v>
      </c>
      <c r="D110" s="17">
        <f t="shared" si="2"/>
        <v>-9.4299257232546511E-3</v>
      </c>
      <c r="E110" s="17">
        <f t="shared" si="3"/>
        <v>-4.478156600321203E-3</v>
      </c>
      <c r="F110" s="7"/>
    </row>
    <row r="111" spans="1:6">
      <c r="A111" s="12">
        <v>45791</v>
      </c>
      <c r="B111" s="44">
        <v>15.7256</v>
      </c>
      <c r="C111" s="35">
        <v>13677.95</v>
      </c>
      <c r="D111" s="17">
        <f t="shared" si="2"/>
        <v>5.3550251947184248E-3</v>
      </c>
      <c r="E111" s="17">
        <f t="shared" si="3"/>
        <v>3.9695613294658738E-3</v>
      </c>
      <c r="F111" s="7"/>
    </row>
    <row r="112" spans="1:6">
      <c r="A112" s="14">
        <v>45792</v>
      </c>
      <c r="B112" s="45">
        <v>15.8314</v>
      </c>
      <c r="C112" s="35">
        <v>13865.8</v>
      </c>
      <c r="D112" s="17">
        <f t="shared" si="2"/>
        <v>1.3640329481869393E-2</v>
      </c>
      <c r="E112" s="17">
        <f t="shared" si="3"/>
        <v>6.7053519924216527E-3</v>
      </c>
      <c r="F112" s="7"/>
    </row>
    <row r="113" spans="1:6">
      <c r="A113" s="12">
        <v>45793</v>
      </c>
      <c r="B113" s="44">
        <v>15.8429</v>
      </c>
      <c r="C113" s="35">
        <v>13896.35</v>
      </c>
      <c r="D113" s="17">
        <f t="shared" si="2"/>
        <v>2.2008390799151752E-3</v>
      </c>
      <c r="E113" s="17">
        <f t="shared" si="3"/>
        <v>7.2614078324134777E-4</v>
      </c>
      <c r="F113" s="7"/>
    </row>
    <row r="114" spans="1:6">
      <c r="A114" s="14">
        <v>45796</v>
      </c>
      <c r="B114" s="45">
        <v>15.8652</v>
      </c>
      <c r="C114" s="35">
        <v>13879.4</v>
      </c>
      <c r="D114" s="17">
        <f t="shared" si="2"/>
        <v>-1.220489247206829E-3</v>
      </c>
      <c r="E114" s="17">
        <f t="shared" si="3"/>
        <v>1.4065808847996226E-3</v>
      </c>
      <c r="F114" s="7"/>
    </row>
    <row r="115" spans="1:6">
      <c r="A115" s="12">
        <v>45797</v>
      </c>
      <c r="B115" s="44">
        <v>15.7867</v>
      </c>
      <c r="C115" s="35">
        <v>13704.9</v>
      </c>
      <c r="D115" s="17">
        <f t="shared" si="2"/>
        <v>-1.2652293357558863E-2</v>
      </c>
      <c r="E115" s="17">
        <f t="shared" si="3"/>
        <v>-4.9602179300164322E-3</v>
      </c>
      <c r="F115" s="7"/>
    </row>
    <row r="116" spans="1:6">
      <c r="A116" s="14">
        <v>45798</v>
      </c>
      <c r="B116" s="45">
        <v>15.8538</v>
      </c>
      <c r="C116" s="35">
        <v>13795.2</v>
      </c>
      <c r="D116" s="17">
        <f t="shared" si="2"/>
        <v>6.5672724496273838E-3</v>
      </c>
      <c r="E116" s="17">
        <f t="shared" si="3"/>
        <v>4.241405830589691E-3</v>
      </c>
      <c r="F116" s="7"/>
    </row>
    <row r="117" spans="1:6">
      <c r="A117" s="12">
        <v>45799</v>
      </c>
      <c r="B117" s="44">
        <v>15.7804</v>
      </c>
      <c r="C117" s="35">
        <v>13698.55</v>
      </c>
      <c r="D117" s="17">
        <f t="shared" si="2"/>
        <v>-7.0307177540439823E-3</v>
      </c>
      <c r="E117" s="17">
        <f t="shared" si="3"/>
        <v>-4.6405555835694803E-3</v>
      </c>
      <c r="F117" s="7"/>
    </row>
    <row r="118" spans="1:6">
      <c r="A118" s="14">
        <v>45800</v>
      </c>
      <c r="B118" s="45">
        <v>15.849299999999999</v>
      </c>
      <c r="C118" s="35">
        <v>13817.85</v>
      </c>
      <c r="D118" s="17">
        <f t="shared" si="2"/>
        <v>8.6712467850559825E-3</v>
      </c>
      <c r="E118" s="17">
        <f t="shared" si="3"/>
        <v>4.356671671256797E-3</v>
      </c>
      <c r="F118" s="7"/>
    </row>
    <row r="119" spans="1:6">
      <c r="A119" s="12">
        <v>45803</v>
      </c>
      <c r="B119" s="44">
        <v>15.8956</v>
      </c>
      <c r="C119" s="35">
        <v>13898.2</v>
      </c>
      <c r="D119" s="17">
        <f t="shared" si="2"/>
        <v>5.7981007466946666E-3</v>
      </c>
      <c r="E119" s="17">
        <f t="shared" si="3"/>
        <v>2.9170060595725884E-3</v>
      </c>
      <c r="F119" s="7"/>
    </row>
    <row r="120" spans="1:6">
      <c r="A120" s="14">
        <v>45804</v>
      </c>
      <c r="B120" s="45">
        <v>15.8588</v>
      </c>
      <c r="C120" s="35">
        <v>13829.3</v>
      </c>
      <c r="D120" s="17">
        <f t="shared" si="2"/>
        <v>-4.9698055586101129E-3</v>
      </c>
      <c r="E120" s="17">
        <f t="shared" si="3"/>
        <v>-2.3177900684373896E-3</v>
      </c>
      <c r="F120" s="7"/>
    </row>
    <row r="121" spans="1:6">
      <c r="A121" s="12">
        <v>45805</v>
      </c>
      <c r="B121" s="44">
        <v>15.855499999999999</v>
      </c>
      <c r="C121" s="35">
        <v>13794.75</v>
      </c>
      <c r="D121" s="17">
        <f t="shared" si="2"/>
        <v>-2.5014447928956669E-3</v>
      </c>
      <c r="E121" s="17">
        <f t="shared" si="3"/>
        <v>-2.0810801511687572E-4</v>
      </c>
      <c r="F121" s="7"/>
    </row>
    <row r="122" spans="1:6">
      <c r="A122" s="14">
        <v>45806</v>
      </c>
      <c r="B122" s="45">
        <v>15.8856</v>
      </c>
      <c r="C122" s="35">
        <v>13841.55</v>
      </c>
      <c r="D122" s="17">
        <f t="shared" si="2"/>
        <v>3.3868531414126407E-3</v>
      </c>
      <c r="E122" s="17">
        <f t="shared" si="3"/>
        <v>1.8965952044925696E-3</v>
      </c>
      <c r="F122" s="7"/>
    </row>
    <row r="123" spans="1:6">
      <c r="A123" s="12">
        <v>45807</v>
      </c>
      <c r="B123" s="44">
        <v>15.8492</v>
      </c>
      <c r="C123" s="35">
        <v>13798.4</v>
      </c>
      <c r="D123" s="17">
        <f t="shared" si="2"/>
        <v>-3.1222947259153845E-3</v>
      </c>
      <c r="E123" s="17">
        <f t="shared" si="3"/>
        <v>-2.2940126273300922E-3</v>
      </c>
      <c r="F123" s="7"/>
    </row>
    <row r="124" spans="1:6">
      <c r="A124" s="12">
        <v>45810</v>
      </c>
      <c r="B124" s="44">
        <v>15.8612</v>
      </c>
      <c r="C124" s="35">
        <v>13808.05</v>
      </c>
      <c r="D124" s="17">
        <f t="shared" si="2"/>
        <v>6.9911201136271036E-4</v>
      </c>
      <c r="E124" s="17">
        <f t="shared" si="3"/>
        <v>7.5684952399354395E-4</v>
      </c>
      <c r="F124" s="7"/>
    </row>
    <row r="125" spans="1:6">
      <c r="A125" s="14">
        <v>45811</v>
      </c>
      <c r="B125" s="45">
        <v>15.8184</v>
      </c>
      <c r="C125" s="35">
        <v>13719.9</v>
      </c>
      <c r="D125" s="17">
        <f t="shared" si="2"/>
        <v>-6.4044217823002103E-3</v>
      </c>
      <c r="E125" s="17">
        <f t="shared" si="3"/>
        <v>-2.702055962866236E-3</v>
      </c>
      <c r="F125" s="7"/>
    </row>
    <row r="126" spans="1:6">
      <c r="A126" s="12">
        <v>45812</v>
      </c>
      <c r="B126" s="44">
        <v>15.859</v>
      </c>
      <c r="C126" s="35">
        <v>13772.05</v>
      </c>
      <c r="D126" s="17">
        <f t="shared" si="2"/>
        <v>3.7938423829963347E-3</v>
      </c>
      <c r="E126" s="17">
        <f t="shared" si="3"/>
        <v>2.5633430919809277E-3</v>
      </c>
      <c r="F126" s="7"/>
    </row>
    <row r="127" spans="1:6">
      <c r="A127" s="14">
        <v>45813</v>
      </c>
      <c r="B127" s="45">
        <v>15.8712</v>
      </c>
      <c r="C127" s="35">
        <v>13845.8</v>
      </c>
      <c r="D127" s="17">
        <f t="shared" si="2"/>
        <v>5.3407615221337766E-3</v>
      </c>
      <c r="E127" s="17">
        <f t="shared" si="3"/>
        <v>7.6898352996134238E-4</v>
      </c>
      <c r="F127" s="7"/>
    </row>
    <row r="128" spans="1:6">
      <c r="A128" s="12">
        <v>45814</v>
      </c>
      <c r="B128" s="44">
        <v>15.945399999999999</v>
      </c>
      <c r="C128" s="35">
        <v>13996.3</v>
      </c>
      <c r="D128" s="17">
        <f t="shared" si="2"/>
        <v>1.0811071424779741E-2</v>
      </c>
      <c r="E128" s="17">
        <f t="shared" si="3"/>
        <v>4.6642403348703728E-3</v>
      </c>
      <c r="F128" s="7"/>
    </row>
    <row r="129" spans="1:6">
      <c r="A129" s="14">
        <v>45817</v>
      </c>
      <c r="B129" s="45">
        <v>16.0106</v>
      </c>
      <c r="C129" s="35">
        <v>14086.9</v>
      </c>
      <c r="D129" s="17">
        <f t="shared" si="2"/>
        <v>6.4522785381020712E-3</v>
      </c>
      <c r="E129" s="17">
        <f t="shared" si="3"/>
        <v>4.0806165022376113E-3</v>
      </c>
      <c r="F129" s="7"/>
    </row>
    <row r="130" spans="1:6">
      <c r="A130" s="12">
        <v>45818</v>
      </c>
      <c r="B130" s="44">
        <v>16.014399999999998</v>
      </c>
      <c r="C130" s="35">
        <v>14089.9</v>
      </c>
      <c r="D130" s="17">
        <f t="shared" si="2"/>
        <v>2.1294114387278168E-4</v>
      </c>
      <c r="E130" s="17">
        <f t="shared" si="3"/>
        <v>2.3731459908407575E-4</v>
      </c>
      <c r="F130" s="7"/>
    </row>
    <row r="131" spans="1:6">
      <c r="A131" s="14">
        <v>45819</v>
      </c>
      <c r="B131" s="45">
        <v>16.031700000000001</v>
      </c>
      <c r="C131" s="35">
        <v>14087.75</v>
      </c>
      <c r="D131" s="17">
        <f t="shared" si="2"/>
        <v>-1.5260321596525329E-4</v>
      </c>
      <c r="E131" s="17">
        <f t="shared" si="3"/>
        <v>1.0796946699044444E-3</v>
      </c>
      <c r="F131" s="7"/>
    </row>
    <row r="132" spans="1:6">
      <c r="A132" s="12">
        <v>45820</v>
      </c>
      <c r="B132" s="44">
        <v>15.904400000000001</v>
      </c>
      <c r="C132" s="35">
        <v>13915.6</v>
      </c>
      <c r="D132" s="17">
        <f t="shared" ref="D132:D195" si="4">LN(C132/C131)</f>
        <v>-1.2295112452699517E-2</v>
      </c>
      <c r="E132" s="17">
        <f t="shared" ref="E132:E195" si="5">LN(B132/B131)</f>
        <v>-7.9722116491494563E-3</v>
      </c>
      <c r="F132" s="7"/>
    </row>
    <row r="133" spans="1:6">
      <c r="A133" s="14">
        <v>45821</v>
      </c>
      <c r="B133" s="45">
        <v>15.843299999999999</v>
      </c>
      <c r="C133" s="35">
        <v>13825.4</v>
      </c>
      <c r="D133" s="17">
        <f t="shared" si="4"/>
        <v>-6.5030329025901898E-3</v>
      </c>
      <c r="E133" s="17">
        <f t="shared" si="5"/>
        <v>-3.8491024821343907E-3</v>
      </c>
      <c r="F133" s="7"/>
    </row>
    <row r="134" spans="1:6">
      <c r="A134" s="12">
        <v>45824</v>
      </c>
      <c r="B134" s="44">
        <v>15.924200000000001</v>
      </c>
      <c r="C134" s="35">
        <v>13949.35</v>
      </c>
      <c r="D134" s="17">
        <f t="shared" si="4"/>
        <v>8.9254321176471148E-3</v>
      </c>
      <c r="E134" s="17">
        <f t="shared" si="5"/>
        <v>5.0932666963384894E-3</v>
      </c>
      <c r="F134" s="7"/>
    </row>
    <row r="135" spans="1:6">
      <c r="A135" s="14">
        <v>45825</v>
      </c>
      <c r="B135" s="45">
        <v>15.890599999999999</v>
      </c>
      <c r="C135" s="35">
        <v>13883.75</v>
      </c>
      <c r="D135" s="17">
        <f t="shared" si="4"/>
        <v>-4.7138207005232094E-3</v>
      </c>
      <c r="E135" s="17">
        <f t="shared" si="5"/>
        <v>-2.1122252845964134E-3</v>
      </c>
      <c r="F135" s="7"/>
    </row>
    <row r="136" spans="1:6">
      <c r="A136" s="12">
        <v>45826</v>
      </c>
      <c r="B136" s="44">
        <v>15.857900000000001</v>
      </c>
      <c r="C136" s="35">
        <v>13850.75</v>
      </c>
      <c r="D136" s="17">
        <f t="shared" si="4"/>
        <v>-2.3797087074427484E-3</v>
      </c>
      <c r="E136" s="17">
        <f t="shared" si="5"/>
        <v>-2.0599405680987014E-3</v>
      </c>
      <c r="F136" s="7"/>
    </row>
    <row r="137" spans="1:6">
      <c r="A137" s="14">
        <v>45827</v>
      </c>
      <c r="B137" s="45">
        <v>15.811199999999999</v>
      </c>
      <c r="C137" s="35">
        <v>13777.1</v>
      </c>
      <c r="D137" s="17">
        <f t="shared" si="4"/>
        <v>-5.3315892813618143E-3</v>
      </c>
      <c r="E137" s="17">
        <f t="shared" si="5"/>
        <v>-2.9492491955874492E-3</v>
      </c>
      <c r="F137" s="7"/>
    </row>
    <row r="138" spans="1:6">
      <c r="A138" s="12">
        <v>45828</v>
      </c>
      <c r="B138" s="44">
        <v>15.928599999999999</v>
      </c>
      <c r="C138" s="35">
        <v>13959.6</v>
      </c>
      <c r="D138" s="17">
        <f t="shared" si="4"/>
        <v>1.3159650118195938E-2</v>
      </c>
      <c r="E138" s="17">
        <f t="shared" si="5"/>
        <v>7.3976858959306458E-3</v>
      </c>
      <c r="F138" s="7"/>
    </row>
    <row r="139" spans="1:6">
      <c r="A139" s="14">
        <v>45831</v>
      </c>
      <c r="B139" s="45">
        <v>15.8947</v>
      </c>
      <c r="C139" s="35">
        <v>13915.75</v>
      </c>
      <c r="D139" s="17">
        <f t="shared" si="4"/>
        <v>-3.1461514327115387E-3</v>
      </c>
      <c r="E139" s="17">
        <f t="shared" si="5"/>
        <v>-2.1305152402762329E-3</v>
      </c>
      <c r="F139" s="7"/>
    </row>
    <row r="140" spans="1:6">
      <c r="A140" s="12">
        <v>45832</v>
      </c>
      <c r="B140" s="44">
        <v>15.9602</v>
      </c>
      <c r="C140" s="35">
        <v>13977.25</v>
      </c>
      <c r="D140" s="17">
        <f t="shared" si="4"/>
        <v>4.4097156748022321E-3</v>
      </c>
      <c r="E140" s="17">
        <f t="shared" si="5"/>
        <v>4.1124029465189373E-3</v>
      </c>
      <c r="F140" s="7"/>
    </row>
    <row r="141" spans="1:6">
      <c r="A141" s="14">
        <v>45833</v>
      </c>
      <c r="B141" s="45">
        <v>16.035799999999998</v>
      </c>
      <c r="C141" s="35">
        <v>14074.1</v>
      </c>
      <c r="D141" s="17">
        <f t="shared" si="4"/>
        <v>6.905220948994293E-3</v>
      </c>
      <c r="E141" s="17">
        <f t="shared" si="5"/>
        <v>4.7255994928788528E-3</v>
      </c>
      <c r="F141" s="7"/>
    </row>
    <row r="142" spans="1:6">
      <c r="A142" s="12">
        <v>45834</v>
      </c>
      <c r="B142" s="44">
        <v>16.128900000000002</v>
      </c>
      <c r="C142" s="35">
        <v>14223.3</v>
      </c>
      <c r="D142" s="17">
        <f t="shared" si="4"/>
        <v>1.0545236142474894E-2</v>
      </c>
      <c r="E142" s="17">
        <f t="shared" si="5"/>
        <v>5.7889711390794766E-3</v>
      </c>
      <c r="F142" s="7"/>
    </row>
    <row r="143" spans="1:6">
      <c r="A143" s="14">
        <v>45835</v>
      </c>
      <c r="B143" s="45">
        <v>16.179500000000001</v>
      </c>
      <c r="C143" s="35">
        <v>14276.05</v>
      </c>
      <c r="D143" s="17">
        <f t="shared" si="4"/>
        <v>3.7018430412562118E-3</v>
      </c>
      <c r="E143" s="17">
        <f t="shared" si="5"/>
        <v>3.1323149008543488E-3</v>
      </c>
      <c r="F143" s="7"/>
    </row>
    <row r="144" spans="1:6">
      <c r="A144" s="12">
        <v>45838</v>
      </c>
      <c r="B144" s="44">
        <v>16.167000000000002</v>
      </c>
      <c r="C144" s="35">
        <v>14252.65</v>
      </c>
      <c r="D144" s="17">
        <f t="shared" si="4"/>
        <v>-1.6404536657906625E-3</v>
      </c>
      <c r="E144" s="17">
        <f t="shared" si="5"/>
        <v>-7.728811848103736E-4</v>
      </c>
      <c r="F144" s="7"/>
    </row>
    <row r="145" spans="1:6">
      <c r="A145" s="14">
        <v>45839</v>
      </c>
      <c r="B145" s="45">
        <v>16.190999999999999</v>
      </c>
      <c r="C145" s="35">
        <v>14260.5</v>
      </c>
      <c r="D145" s="17">
        <f t="shared" si="4"/>
        <v>5.5062314744837087E-4</v>
      </c>
      <c r="E145" s="17">
        <f t="shared" si="5"/>
        <v>1.4834046851458825E-3</v>
      </c>
      <c r="F145" s="7"/>
    </row>
    <row r="146" spans="1:6">
      <c r="A146" s="12">
        <v>45840</v>
      </c>
      <c r="B146" s="44">
        <v>16.193200000000001</v>
      </c>
      <c r="C146" s="35">
        <v>14217.35</v>
      </c>
      <c r="D146" s="17">
        <f t="shared" si="4"/>
        <v>-3.0304277199508919E-3</v>
      </c>
      <c r="E146" s="17">
        <f t="shared" si="5"/>
        <v>1.3586872631641216E-4</v>
      </c>
      <c r="F146" s="7"/>
    </row>
    <row r="147" spans="1:6">
      <c r="A147" s="14">
        <v>45841</v>
      </c>
      <c r="B147" s="45">
        <v>16.173300000000001</v>
      </c>
      <c r="C147" s="35">
        <v>14188.6</v>
      </c>
      <c r="D147" s="17">
        <f t="shared" si="4"/>
        <v>-2.024224489368608E-3</v>
      </c>
      <c r="E147" s="17">
        <f t="shared" si="5"/>
        <v>-1.2296666310866152E-3</v>
      </c>
      <c r="F147" s="7"/>
    </row>
    <row r="148" spans="1:6">
      <c r="A148" s="12">
        <v>45842</v>
      </c>
      <c r="B148" s="44">
        <v>16.195799999999998</v>
      </c>
      <c r="C148" s="35">
        <v>14217.15</v>
      </c>
      <c r="D148" s="17">
        <f t="shared" si="4"/>
        <v>2.0101570712670273E-3</v>
      </c>
      <c r="E148" s="17">
        <f t="shared" si="5"/>
        <v>1.3902149657422421E-3</v>
      </c>
      <c r="F148" s="7"/>
    </row>
    <row r="149" spans="1:6">
      <c r="A149" s="14">
        <v>45845</v>
      </c>
      <c r="B149" s="45">
        <v>16.206700000000001</v>
      </c>
      <c r="C149" s="35">
        <v>14214.05</v>
      </c>
      <c r="D149" s="17">
        <f t="shared" si="4"/>
        <v>-2.1807028984254786E-4</v>
      </c>
      <c r="E149" s="17">
        <f t="shared" si="5"/>
        <v>6.7278761892775063E-4</v>
      </c>
      <c r="F149" s="7"/>
    </row>
    <row r="150" spans="1:6">
      <c r="A150" s="12">
        <v>45846</v>
      </c>
      <c r="B150" s="44">
        <v>16.212399999999999</v>
      </c>
      <c r="C150" s="35">
        <v>14233.25</v>
      </c>
      <c r="D150" s="17">
        <f t="shared" si="4"/>
        <v>1.3498646912300759E-3</v>
      </c>
      <c r="E150" s="17">
        <f t="shared" si="5"/>
        <v>3.516445588391687E-4</v>
      </c>
      <c r="F150" s="7"/>
    </row>
    <row r="151" spans="1:6">
      <c r="A151" s="14">
        <v>45847</v>
      </c>
      <c r="B151" s="45">
        <v>16.184100000000001</v>
      </c>
      <c r="C151" s="35">
        <v>14211.15</v>
      </c>
      <c r="D151" s="17">
        <f t="shared" si="4"/>
        <v>-1.5539089906589226E-3</v>
      </c>
      <c r="E151" s="17">
        <f t="shared" si="5"/>
        <v>-1.7471027548345984E-3</v>
      </c>
      <c r="F151" s="7"/>
    </row>
    <row r="152" spans="1:6">
      <c r="A152" s="12">
        <v>45848</v>
      </c>
      <c r="B152" s="44">
        <v>16.150099999999998</v>
      </c>
      <c r="C152" s="35">
        <v>14152.9</v>
      </c>
      <c r="D152" s="17">
        <f t="shared" si="4"/>
        <v>-4.1073176707876313E-3</v>
      </c>
      <c r="E152" s="17">
        <f t="shared" si="5"/>
        <v>-2.1030371885600967E-3</v>
      </c>
      <c r="F152" s="7"/>
    </row>
    <row r="153" spans="1:6">
      <c r="A153" s="14">
        <v>45849</v>
      </c>
      <c r="B153" s="45">
        <v>16.071000000000002</v>
      </c>
      <c r="C153" s="35">
        <v>14036.6</v>
      </c>
      <c r="D153" s="17">
        <f t="shared" si="4"/>
        <v>-8.2513460581835636E-3</v>
      </c>
      <c r="E153" s="17">
        <f t="shared" si="5"/>
        <v>-4.9098360330267141E-3</v>
      </c>
      <c r="F153" s="7"/>
    </row>
    <row r="154" spans="1:6">
      <c r="A154" s="12">
        <v>45852</v>
      </c>
      <c r="B154" s="44">
        <v>16.073499999999999</v>
      </c>
      <c r="C154" s="35">
        <v>14036.8</v>
      </c>
      <c r="D154" s="17">
        <f t="shared" si="4"/>
        <v>1.4248363219452462E-5</v>
      </c>
      <c r="E154" s="17">
        <f t="shared" si="5"/>
        <v>1.5554760565800532E-4</v>
      </c>
      <c r="F154" s="7"/>
    </row>
    <row r="155" spans="1:6">
      <c r="A155" s="14">
        <v>45853</v>
      </c>
      <c r="B155" s="45">
        <v>16.110099999999999</v>
      </c>
      <c r="C155" s="35">
        <v>14116.2</v>
      </c>
      <c r="D155" s="17">
        <f t="shared" si="4"/>
        <v>5.6406216403088929E-3</v>
      </c>
      <c r="E155" s="17">
        <f t="shared" si="5"/>
        <v>2.2744513216694439E-3</v>
      </c>
      <c r="F155" s="7"/>
    </row>
    <row r="156" spans="1:6">
      <c r="A156" s="12">
        <v>45854</v>
      </c>
      <c r="B156" s="44">
        <v>16.125599999999999</v>
      </c>
      <c r="C156" s="35">
        <v>14126.95</v>
      </c>
      <c r="D156" s="17">
        <f t="shared" si="4"/>
        <v>7.6124656910658384E-4</v>
      </c>
      <c r="E156" s="17">
        <f t="shared" si="5"/>
        <v>9.6166679765211842E-4</v>
      </c>
      <c r="F156" s="7"/>
    </row>
    <row r="157" spans="1:6">
      <c r="A157" s="14">
        <v>45855</v>
      </c>
      <c r="B157" s="45">
        <v>16.098800000000001</v>
      </c>
      <c r="C157" s="35">
        <v>14079.55</v>
      </c>
      <c r="D157" s="17">
        <f t="shared" si="4"/>
        <v>-3.360930609513257E-3</v>
      </c>
      <c r="E157" s="17">
        <f t="shared" si="5"/>
        <v>-1.6633362407947778E-3</v>
      </c>
      <c r="F157" s="7"/>
    </row>
    <row r="158" spans="1:6">
      <c r="A158" s="12">
        <v>45856</v>
      </c>
      <c r="B158" s="44">
        <v>16.052900000000001</v>
      </c>
      <c r="C158" s="35">
        <v>13993.45</v>
      </c>
      <c r="D158" s="17">
        <f t="shared" si="4"/>
        <v>-6.1340269987846183E-3</v>
      </c>
      <c r="E158" s="17">
        <f t="shared" si="5"/>
        <v>-2.8552164384709603E-3</v>
      </c>
      <c r="F158" s="7"/>
    </row>
    <row r="159" spans="1:6">
      <c r="A159" s="14">
        <v>45859</v>
      </c>
      <c r="B159" s="45">
        <v>16.051300000000001</v>
      </c>
      <c r="C159" s="35">
        <v>14063.4</v>
      </c>
      <c r="D159" s="17">
        <f t="shared" si="4"/>
        <v>4.9863149236262757E-3</v>
      </c>
      <c r="E159" s="17">
        <f t="shared" si="5"/>
        <v>-9.9675431957458501E-5</v>
      </c>
      <c r="F159" s="7"/>
    </row>
    <row r="160" spans="1:6">
      <c r="A160" s="12">
        <v>45860</v>
      </c>
      <c r="B160" s="44">
        <v>15.9941</v>
      </c>
      <c r="C160" s="35">
        <v>14029.75</v>
      </c>
      <c r="D160" s="17">
        <f t="shared" si="4"/>
        <v>-2.3956029204889816E-3</v>
      </c>
      <c r="E160" s="17">
        <f t="shared" si="5"/>
        <v>-3.5699389459080766E-3</v>
      </c>
      <c r="F160" s="7"/>
    </row>
    <row r="161" spans="1:6">
      <c r="A161" s="14">
        <v>45861</v>
      </c>
      <c r="B161" s="45">
        <v>16.065300000000001</v>
      </c>
      <c r="C161" s="35">
        <v>14102.3</v>
      </c>
      <c r="D161" s="17">
        <f t="shared" si="4"/>
        <v>5.1578296525479394E-3</v>
      </c>
      <c r="E161" s="17">
        <f t="shared" si="5"/>
        <v>4.4417622950020446E-3</v>
      </c>
      <c r="F161" s="7"/>
    </row>
    <row r="162" spans="1:6">
      <c r="A162" s="12">
        <v>45862</v>
      </c>
      <c r="B162" s="44">
        <v>16.026299999999999</v>
      </c>
      <c r="C162" s="35">
        <v>14023</v>
      </c>
      <c r="D162" s="17">
        <f t="shared" si="4"/>
        <v>-5.6390659042715348E-3</v>
      </c>
      <c r="E162" s="17">
        <f t="shared" si="5"/>
        <v>-2.4305437684325163E-3</v>
      </c>
      <c r="F162" s="7"/>
    </row>
    <row r="163" spans="1:6">
      <c r="A163" s="14">
        <v>45863</v>
      </c>
      <c r="B163" s="45">
        <v>15.924099999999999</v>
      </c>
      <c r="C163" s="35">
        <v>13866.75</v>
      </c>
      <c r="D163" s="17">
        <f t="shared" si="4"/>
        <v>-1.1204950548078938E-2</v>
      </c>
      <c r="E163" s="17">
        <f t="shared" si="5"/>
        <v>-6.397437813809706E-3</v>
      </c>
      <c r="F163" s="7"/>
    </row>
    <row r="164" spans="1:6">
      <c r="A164" s="12">
        <v>45866</v>
      </c>
      <c r="B164" s="44">
        <v>15.8628</v>
      </c>
      <c r="C164" s="35">
        <v>13775.75</v>
      </c>
      <c r="D164" s="17">
        <f t="shared" si="4"/>
        <v>-6.5840881786314014E-3</v>
      </c>
      <c r="E164" s="17">
        <f t="shared" si="5"/>
        <v>-3.8569395563240998E-3</v>
      </c>
      <c r="F164" s="7"/>
    </row>
    <row r="165" spans="1:6">
      <c r="A165" s="14">
        <v>45867</v>
      </c>
      <c r="B165" s="45">
        <v>15.938000000000001</v>
      </c>
      <c r="C165" s="35">
        <v>13866.45</v>
      </c>
      <c r="D165" s="17">
        <f t="shared" si="4"/>
        <v>6.5624534592329349E-3</v>
      </c>
      <c r="E165" s="17">
        <f t="shared" si="5"/>
        <v>4.7294495843391128E-3</v>
      </c>
      <c r="F165" s="7"/>
    </row>
    <row r="166" spans="1:6">
      <c r="A166" s="12">
        <v>45868</v>
      </c>
      <c r="B166" s="44">
        <v>15.940300000000001</v>
      </c>
      <c r="C166" s="35">
        <v>13879.35</v>
      </c>
      <c r="D166" s="17">
        <f t="shared" si="4"/>
        <v>9.2987053388315553E-4</v>
      </c>
      <c r="E166" s="17">
        <f t="shared" si="5"/>
        <v>1.4429878657209967E-4</v>
      </c>
      <c r="F166" s="7"/>
    </row>
    <row r="167" spans="1:6">
      <c r="A167" s="14">
        <v>45869</v>
      </c>
      <c r="B167" s="45">
        <v>15.8644</v>
      </c>
      <c r="C167" s="35">
        <v>13814</v>
      </c>
      <c r="D167" s="17">
        <f t="shared" si="4"/>
        <v>-4.7195533441384292E-3</v>
      </c>
      <c r="E167" s="17">
        <f t="shared" si="5"/>
        <v>-4.7728885407746042E-3</v>
      </c>
      <c r="F167" s="7"/>
    </row>
    <row r="168" spans="1:6">
      <c r="A168" s="12">
        <v>45870</v>
      </c>
      <c r="B168" s="44">
        <v>15.764699999999999</v>
      </c>
      <c r="C168" s="35">
        <v>13678.5</v>
      </c>
      <c r="D168" s="17">
        <f t="shared" si="4"/>
        <v>-9.8573136070883166E-3</v>
      </c>
      <c r="E168" s="17">
        <f t="shared" si="5"/>
        <v>-6.3043419011113303E-3</v>
      </c>
      <c r="F168" s="7"/>
    </row>
    <row r="169" spans="1:6">
      <c r="A169" s="14">
        <v>45873</v>
      </c>
      <c r="B169" s="45">
        <v>15.846</v>
      </c>
      <c r="C169" s="35">
        <v>13792.6</v>
      </c>
      <c r="D169" s="17">
        <f t="shared" si="4"/>
        <v>8.3069593956738175E-3</v>
      </c>
      <c r="E169" s="17">
        <f t="shared" si="5"/>
        <v>5.143839222807524E-3</v>
      </c>
      <c r="F169" s="7"/>
    </row>
    <row r="170" spans="1:6">
      <c r="A170" s="12">
        <v>45874</v>
      </c>
      <c r="B170" s="44">
        <v>15.819100000000001</v>
      </c>
      <c r="C170" s="35">
        <v>13750.75</v>
      </c>
      <c r="D170" s="17">
        <f t="shared" si="4"/>
        <v>-3.0388483757902789E-3</v>
      </c>
      <c r="E170" s="17">
        <f t="shared" si="5"/>
        <v>-1.6990318344826379E-3</v>
      </c>
      <c r="F170" s="7"/>
    </row>
    <row r="171" spans="1:6">
      <c r="A171" s="14">
        <v>45875</v>
      </c>
      <c r="B171" s="45">
        <v>15.7805</v>
      </c>
      <c r="C171" s="35">
        <v>13686.15</v>
      </c>
      <c r="D171" s="17">
        <f t="shared" si="4"/>
        <v>-4.7089955041150844E-3</v>
      </c>
      <c r="E171" s="17">
        <f t="shared" si="5"/>
        <v>-2.4430701147463221E-3</v>
      </c>
      <c r="F171" s="7"/>
    </row>
    <row r="172" spans="1:6">
      <c r="A172" s="12">
        <v>45876</v>
      </c>
      <c r="B172" s="44">
        <v>15.8009</v>
      </c>
      <c r="C172" s="35">
        <v>13706.85</v>
      </c>
      <c r="D172" s="17">
        <f t="shared" si="4"/>
        <v>1.5113353002688058E-3</v>
      </c>
      <c r="E172" s="17">
        <f t="shared" si="5"/>
        <v>1.2918998421417788E-3</v>
      </c>
      <c r="F172" s="7"/>
    </row>
    <row r="173" spans="1:6">
      <c r="A173" s="14">
        <v>45877</v>
      </c>
      <c r="B173" s="45">
        <v>15.7049</v>
      </c>
      <c r="C173" s="35">
        <v>13555.15</v>
      </c>
      <c r="D173" s="17">
        <f t="shared" si="4"/>
        <v>-1.1129158959033348E-2</v>
      </c>
      <c r="E173" s="17">
        <f t="shared" si="5"/>
        <v>-6.0941348645426529E-3</v>
      </c>
      <c r="F173" s="7"/>
    </row>
    <row r="174" spans="1:6">
      <c r="A174" s="12">
        <v>45880</v>
      </c>
      <c r="B174" s="44">
        <v>15.787100000000001</v>
      </c>
      <c r="C174" s="35">
        <v>13682.25</v>
      </c>
      <c r="D174" s="17">
        <f t="shared" si="4"/>
        <v>9.3328234376044965E-3</v>
      </c>
      <c r="E174" s="17">
        <f t="shared" si="5"/>
        <v>5.2203852838187915E-3</v>
      </c>
      <c r="F174" s="7"/>
    </row>
    <row r="175" spans="1:6">
      <c r="A175" s="14">
        <v>45881</v>
      </c>
      <c r="B175" s="45">
        <v>15.8019</v>
      </c>
      <c r="C175" s="35">
        <v>13636.7</v>
      </c>
      <c r="D175" s="17">
        <f t="shared" si="4"/>
        <v>-3.3346846939666954E-3</v>
      </c>
      <c r="E175" s="17">
        <f t="shared" si="5"/>
        <v>9.3703511240680046E-4</v>
      </c>
      <c r="F175" s="7"/>
    </row>
    <row r="176" spans="1:6">
      <c r="A176" s="12">
        <v>45882</v>
      </c>
      <c r="B176" s="44">
        <v>15.825799999999999</v>
      </c>
      <c r="C176" s="35">
        <v>13713.6</v>
      </c>
      <c r="D176" s="17">
        <f t="shared" si="4"/>
        <v>5.6233535021464982E-3</v>
      </c>
      <c r="E176" s="17">
        <f t="shared" si="5"/>
        <v>1.511333707428896E-3</v>
      </c>
      <c r="F176" s="7"/>
    </row>
    <row r="177" spans="1:6">
      <c r="A177" s="14">
        <v>45883</v>
      </c>
      <c r="B177" s="45">
        <v>15.815799999999999</v>
      </c>
      <c r="C177" s="35">
        <v>13707.7</v>
      </c>
      <c r="D177" s="17">
        <f t="shared" si="4"/>
        <v>-4.3032242023865894E-4</v>
      </c>
      <c r="E177" s="17">
        <f t="shared" si="5"/>
        <v>-6.3207930907017745E-4</v>
      </c>
      <c r="F177" s="7"/>
    </row>
    <row r="178" spans="1:6">
      <c r="A178" s="12">
        <v>45887</v>
      </c>
      <c r="B178" s="44">
        <v>15.8888</v>
      </c>
      <c r="C178" s="35">
        <v>13852.8</v>
      </c>
      <c r="D178" s="17">
        <f t="shared" si="4"/>
        <v>1.0529659523281779E-2</v>
      </c>
      <c r="E178" s="17">
        <f t="shared" si="5"/>
        <v>4.6050181364400318E-3</v>
      </c>
      <c r="F178" s="7"/>
    </row>
    <row r="179" spans="1:6">
      <c r="A179" s="14">
        <v>45888</v>
      </c>
      <c r="B179" s="45">
        <v>15.956</v>
      </c>
      <c r="C179" s="35">
        <v>13930</v>
      </c>
      <c r="D179" s="17">
        <f t="shared" si="4"/>
        <v>5.5574095261899086E-3</v>
      </c>
      <c r="E179" s="17">
        <f t="shared" si="5"/>
        <v>4.2204755407155041E-3</v>
      </c>
      <c r="F179" s="7"/>
    </row>
    <row r="180" spans="1:6">
      <c r="A180" s="12">
        <v>45889</v>
      </c>
      <c r="B180" s="44">
        <v>15.980600000000001</v>
      </c>
      <c r="C180" s="35">
        <v>13975.2</v>
      </c>
      <c r="D180" s="17">
        <f t="shared" si="4"/>
        <v>3.2395424171684827E-3</v>
      </c>
      <c r="E180" s="17">
        <f t="shared" si="5"/>
        <v>1.5405525237672136E-3</v>
      </c>
      <c r="F180" s="7"/>
    </row>
    <row r="181" spans="1:6">
      <c r="A181" s="14">
        <v>45890</v>
      </c>
      <c r="B181" s="45">
        <v>15.9802</v>
      </c>
      <c r="C181" s="35">
        <v>13973.3</v>
      </c>
      <c r="D181" s="17">
        <f t="shared" si="4"/>
        <v>-1.3596436323437856E-4</v>
      </c>
      <c r="E181" s="17">
        <f t="shared" si="5"/>
        <v>-2.5030662562991934E-5</v>
      </c>
      <c r="F181" s="7"/>
    </row>
    <row r="182" spans="1:6">
      <c r="A182" s="12">
        <v>45891</v>
      </c>
      <c r="B182" s="44">
        <v>15.914999999999999</v>
      </c>
      <c r="C182" s="35">
        <v>13875.4</v>
      </c>
      <c r="D182" s="17">
        <f t="shared" si="4"/>
        <v>-7.0308777998642118E-3</v>
      </c>
      <c r="E182" s="17">
        <f t="shared" si="5"/>
        <v>-4.0883951703081841E-3</v>
      </c>
      <c r="F182" s="7"/>
    </row>
    <row r="183" spans="1:6">
      <c r="A183" s="14">
        <v>45894</v>
      </c>
      <c r="B183" s="45">
        <v>15.927899999999999</v>
      </c>
      <c r="C183" s="35">
        <v>13920.85</v>
      </c>
      <c r="D183" s="17">
        <f t="shared" si="4"/>
        <v>3.2702282145976314E-3</v>
      </c>
      <c r="E183" s="17">
        <f t="shared" si="5"/>
        <v>8.1022775599619897E-4</v>
      </c>
      <c r="F183" s="7"/>
    </row>
    <row r="184" spans="1:6">
      <c r="A184" s="12">
        <v>45895</v>
      </c>
      <c r="B184" s="44">
        <v>15.8132</v>
      </c>
      <c r="C184" s="35">
        <v>13757.8</v>
      </c>
      <c r="D184" s="17">
        <f t="shared" si="4"/>
        <v>-1.1781780258879321E-2</v>
      </c>
      <c r="E184" s="17">
        <f t="shared" si="5"/>
        <v>-7.2272542074429567E-3</v>
      </c>
      <c r="F184" s="7"/>
    </row>
    <row r="185" spans="1:6">
      <c r="A185" s="14">
        <v>45897</v>
      </c>
      <c r="B185" s="45">
        <v>15.743600000000001</v>
      </c>
      <c r="C185" s="35">
        <v>13622.25</v>
      </c>
      <c r="D185" s="17">
        <f t="shared" si="4"/>
        <v>-9.9014506859772429E-3</v>
      </c>
      <c r="E185" s="17">
        <f t="shared" si="5"/>
        <v>-4.4111007995273187E-3</v>
      </c>
      <c r="F185" s="7"/>
    </row>
    <row r="186" spans="1:6">
      <c r="A186" s="12">
        <v>45898</v>
      </c>
      <c r="B186" s="44">
        <v>15.7182</v>
      </c>
      <c r="C186" s="35">
        <v>13575.1</v>
      </c>
      <c r="D186" s="17">
        <f t="shared" si="4"/>
        <v>-3.4672530401540481E-3</v>
      </c>
      <c r="E186" s="17">
        <f t="shared" si="5"/>
        <v>-1.6146568548778338E-3</v>
      </c>
      <c r="F186" s="7"/>
    </row>
    <row r="187" spans="1:6">
      <c r="A187" s="12">
        <v>45901</v>
      </c>
      <c r="B187" s="44">
        <v>15.785299999999999</v>
      </c>
      <c r="C187" s="35">
        <v>13723.05</v>
      </c>
      <c r="D187" s="17">
        <f t="shared" si="4"/>
        <v>1.0839668523668329E-2</v>
      </c>
      <c r="E187" s="17">
        <f t="shared" si="5"/>
        <v>4.2598505860099844E-3</v>
      </c>
      <c r="F187" s="7"/>
    </row>
    <row r="188" spans="1:6">
      <c r="A188" s="14">
        <v>45902</v>
      </c>
      <c r="B188" s="45">
        <v>15.805999999999999</v>
      </c>
      <c r="C188" s="35">
        <v>13721.95</v>
      </c>
      <c r="D188" s="17">
        <f t="shared" si="4"/>
        <v>-8.0160320684071588E-5</v>
      </c>
      <c r="E188" s="17">
        <f t="shared" si="5"/>
        <v>1.3104875685694842E-3</v>
      </c>
      <c r="F188" s="7"/>
    </row>
    <row r="189" spans="1:6">
      <c r="A189" s="12">
        <v>45903</v>
      </c>
      <c r="B189" s="44">
        <v>15.8645</v>
      </c>
      <c r="C189" s="35">
        <v>13802</v>
      </c>
      <c r="D189" s="17">
        <f t="shared" si="4"/>
        <v>5.8167687200544578E-3</v>
      </c>
      <c r="E189" s="17">
        <f t="shared" si="5"/>
        <v>3.6942938402011595E-3</v>
      </c>
      <c r="F189" s="7"/>
    </row>
    <row r="190" spans="1:6">
      <c r="A190" s="14">
        <v>45904</v>
      </c>
      <c r="B190" s="45">
        <v>15.833600000000001</v>
      </c>
      <c r="C190" s="35">
        <v>13784.5</v>
      </c>
      <c r="D190" s="17">
        <f t="shared" si="4"/>
        <v>-1.2687366898640939E-3</v>
      </c>
      <c r="E190" s="17">
        <f t="shared" si="5"/>
        <v>-1.949644287062301E-3</v>
      </c>
      <c r="F190" s="7"/>
    </row>
    <row r="191" spans="1:6">
      <c r="A191" s="12">
        <v>45905</v>
      </c>
      <c r="B191" s="44">
        <v>15.841200000000001</v>
      </c>
      <c r="C191" s="35">
        <v>13790.05</v>
      </c>
      <c r="D191" s="17">
        <f t="shared" si="4"/>
        <v>4.0254510589983158E-4</v>
      </c>
      <c r="E191" s="17">
        <f t="shared" si="5"/>
        <v>4.7987675665493246E-4</v>
      </c>
      <c r="F191" s="7"/>
    </row>
    <row r="192" spans="1:6">
      <c r="A192" s="14">
        <v>45908</v>
      </c>
      <c r="B192" s="45">
        <v>15.866400000000001</v>
      </c>
      <c r="C192" s="35">
        <v>13822.1</v>
      </c>
      <c r="D192" s="17">
        <f t="shared" si="4"/>
        <v>2.3214428715895015E-3</v>
      </c>
      <c r="E192" s="17">
        <f t="shared" si="5"/>
        <v>1.5895246127637429E-3</v>
      </c>
      <c r="F192" s="7"/>
    </row>
    <row r="193" spans="1:6">
      <c r="A193" s="12">
        <v>45909</v>
      </c>
      <c r="B193" s="44">
        <v>15.886699999999999</v>
      </c>
      <c r="C193" s="35">
        <v>13865.75</v>
      </c>
      <c r="D193" s="17">
        <f t="shared" si="4"/>
        <v>3.153010158759283E-3</v>
      </c>
      <c r="E193" s="17">
        <f t="shared" si="5"/>
        <v>1.2786154904958701E-3</v>
      </c>
      <c r="F193" s="7"/>
    </row>
    <row r="194" spans="1:6">
      <c r="A194" s="14">
        <v>45910</v>
      </c>
      <c r="B194" s="45">
        <v>15.9339</v>
      </c>
      <c r="C194" s="35">
        <v>13936.3</v>
      </c>
      <c r="D194" s="17">
        <f t="shared" si="4"/>
        <v>5.0751762141325613E-3</v>
      </c>
      <c r="E194" s="17">
        <f t="shared" si="5"/>
        <v>2.9666338546057575E-3</v>
      </c>
      <c r="F194" s="7"/>
    </row>
    <row r="195" spans="1:6">
      <c r="A195" s="12">
        <v>45911</v>
      </c>
      <c r="B195" s="44">
        <v>15.968500000000001</v>
      </c>
      <c r="C195" s="35">
        <v>13957</v>
      </c>
      <c r="D195" s="17">
        <f t="shared" si="4"/>
        <v>1.4842276675803426E-3</v>
      </c>
      <c r="E195" s="17">
        <f t="shared" si="5"/>
        <v>2.169116653686068E-3</v>
      </c>
      <c r="F195" s="7"/>
    </row>
    <row r="196" spans="1:6">
      <c r="A196" s="14">
        <v>45912</v>
      </c>
      <c r="B196" s="45">
        <v>15.991099999999999</v>
      </c>
      <c r="C196" s="35">
        <v>14012.55</v>
      </c>
      <c r="D196" s="17">
        <f t="shared" ref="D196:D246" si="6">LN(C196/C195)</f>
        <v>3.972182108045349E-3</v>
      </c>
      <c r="E196" s="17">
        <f t="shared" ref="E196:E246" si="7">LN(B196/B195)</f>
        <v>1.4142857712268334E-3</v>
      </c>
      <c r="F196" s="7"/>
    </row>
    <row r="197" spans="1:6">
      <c r="A197" s="12">
        <v>45915</v>
      </c>
      <c r="B197" s="44">
        <v>16.008500000000002</v>
      </c>
      <c r="C197" s="35">
        <v>14017.9</v>
      </c>
      <c r="D197" s="17">
        <f t="shared" si="6"/>
        <v>3.8172773287378981E-4</v>
      </c>
      <c r="E197" s="17">
        <f t="shared" si="7"/>
        <v>1.0875137011024144E-3</v>
      </c>
      <c r="F197" s="7"/>
    </row>
    <row r="198" spans="1:6">
      <c r="A198" s="14">
        <v>45916</v>
      </c>
      <c r="B198" s="45">
        <v>16.075199999999999</v>
      </c>
      <c r="C198" s="35">
        <v>14107.55</v>
      </c>
      <c r="D198" s="17">
        <f t="shared" si="6"/>
        <v>6.3750307015214679E-3</v>
      </c>
      <c r="E198" s="17">
        <f t="shared" si="7"/>
        <v>4.1578805494549729E-3</v>
      </c>
      <c r="F198" s="7"/>
    </row>
    <row r="199" spans="1:6">
      <c r="A199" s="12">
        <v>45917</v>
      </c>
      <c r="B199" s="44">
        <v>16.106200000000001</v>
      </c>
      <c r="C199" s="35">
        <v>14148.8</v>
      </c>
      <c r="D199" s="17">
        <f t="shared" si="6"/>
        <v>2.9196997703857656E-3</v>
      </c>
      <c r="E199" s="17">
        <f t="shared" si="7"/>
        <v>1.9265793028632411E-3</v>
      </c>
      <c r="F199" s="7"/>
    </row>
    <row r="200" spans="1:6">
      <c r="A200" s="14">
        <v>45918</v>
      </c>
      <c r="B200" s="45">
        <v>16.1374</v>
      </c>
      <c r="C200" s="35">
        <v>14199.3</v>
      </c>
      <c r="D200" s="17">
        <f t="shared" si="6"/>
        <v>3.5628527781568654E-3</v>
      </c>
      <c r="E200" s="17">
        <f t="shared" si="7"/>
        <v>1.935268378077025E-3</v>
      </c>
      <c r="F200" s="7"/>
    </row>
    <row r="201" spans="1:6">
      <c r="A201" s="12">
        <v>45919</v>
      </c>
      <c r="B201" s="44">
        <v>16.138200000000001</v>
      </c>
      <c r="C201" s="35">
        <v>14174.85</v>
      </c>
      <c r="D201" s="17">
        <f t="shared" si="6"/>
        <v>-1.7234000702465958E-3</v>
      </c>
      <c r="E201" s="17">
        <f t="shared" si="7"/>
        <v>4.9573052099222093E-5</v>
      </c>
      <c r="F201" s="7"/>
    </row>
    <row r="202" spans="1:6">
      <c r="A202" s="14">
        <v>45922</v>
      </c>
      <c r="B202" s="45">
        <v>16.078499999999998</v>
      </c>
      <c r="C202" s="35">
        <v>14117.4</v>
      </c>
      <c r="D202" s="17">
        <f t="shared" si="6"/>
        <v>-4.0611884145955214E-3</v>
      </c>
      <c r="E202" s="17">
        <f t="shared" si="7"/>
        <v>-3.7061566414054465E-3</v>
      </c>
      <c r="F202" s="7"/>
    </row>
    <row r="203" spans="1:6">
      <c r="A203" s="12">
        <v>45923</v>
      </c>
      <c r="B203" s="44">
        <v>16.068999999999999</v>
      </c>
      <c r="C203" s="35">
        <v>14087.2</v>
      </c>
      <c r="D203" s="17">
        <f t="shared" si="6"/>
        <v>-2.1414954682171272E-3</v>
      </c>
      <c r="E203" s="17">
        <f t="shared" si="7"/>
        <v>-5.9102575793062333E-4</v>
      </c>
      <c r="F203" s="7"/>
    </row>
    <row r="204" spans="1:6">
      <c r="A204" s="14">
        <v>45924</v>
      </c>
      <c r="B204" s="45">
        <v>16.023199999999999</v>
      </c>
      <c r="C204" s="35">
        <v>13996.2</v>
      </c>
      <c r="D204" s="17">
        <f t="shared" si="6"/>
        <v>-6.4807194640028728E-3</v>
      </c>
      <c r="E204" s="17">
        <f t="shared" si="7"/>
        <v>-2.8542780547303514E-3</v>
      </c>
      <c r="F204" s="7"/>
    </row>
    <row r="205" spans="1:6">
      <c r="A205" s="12">
        <v>45925</v>
      </c>
      <c r="B205" s="44">
        <v>15.9749</v>
      </c>
      <c r="C205" s="35">
        <v>13902.35</v>
      </c>
      <c r="D205" s="17">
        <f t="shared" si="6"/>
        <v>-6.7279736054147521E-3</v>
      </c>
      <c r="E205" s="17">
        <f t="shared" si="7"/>
        <v>-3.0189315417874104E-3</v>
      </c>
      <c r="F205" s="7"/>
    </row>
    <row r="206" spans="1:6">
      <c r="A206" s="14">
        <v>45926</v>
      </c>
      <c r="B206" s="45">
        <v>15.899699999999999</v>
      </c>
      <c r="C206" s="35">
        <v>13730.05</v>
      </c>
      <c r="D206" s="17">
        <f t="shared" si="6"/>
        <v>-1.2471029161167494E-2</v>
      </c>
      <c r="E206" s="17">
        <f t="shared" si="7"/>
        <v>-4.7184993394423762E-3</v>
      </c>
      <c r="F206" s="7"/>
    </row>
    <row r="207" spans="1:6">
      <c r="A207" s="12">
        <v>45929</v>
      </c>
      <c r="B207" s="44">
        <v>15.918799999999999</v>
      </c>
      <c r="C207" s="35">
        <v>13748.9</v>
      </c>
      <c r="D207" s="17">
        <f t="shared" si="6"/>
        <v>1.3719594785636055E-3</v>
      </c>
      <c r="E207" s="17">
        <f t="shared" si="7"/>
        <v>1.2005595671787843E-3</v>
      </c>
      <c r="F207" s="7"/>
    </row>
    <row r="208" spans="1:6">
      <c r="A208" s="14">
        <v>45930</v>
      </c>
      <c r="B208" s="45">
        <v>15.9284</v>
      </c>
      <c r="C208" s="35">
        <v>13739.95</v>
      </c>
      <c r="D208" s="17">
        <f t="shared" si="6"/>
        <v>-6.5117313501665726E-4</v>
      </c>
      <c r="E208" s="17">
        <f t="shared" si="7"/>
        <v>6.0287876427256044E-4</v>
      </c>
      <c r="F208" s="7"/>
    </row>
    <row r="209" spans="1:6">
      <c r="A209" s="12">
        <v>45931</v>
      </c>
      <c r="B209" s="44">
        <v>15.988200000000001</v>
      </c>
      <c r="C209" s="35">
        <v>13854.4</v>
      </c>
      <c r="D209" s="17">
        <f t="shared" si="6"/>
        <v>8.2952239340067895E-3</v>
      </c>
      <c r="E209" s="17">
        <f t="shared" si="7"/>
        <v>3.7472706977646482E-3</v>
      </c>
      <c r="F209" s="7"/>
    </row>
    <row r="210" spans="1:6">
      <c r="A210" s="14">
        <v>45933</v>
      </c>
      <c r="B210" s="45">
        <v>16.053699999999999</v>
      </c>
      <c r="C210" s="35">
        <v>13904.5</v>
      </c>
      <c r="D210" s="17">
        <f t="shared" si="6"/>
        <v>3.6096570396283749E-3</v>
      </c>
      <c r="E210" s="17">
        <f t="shared" si="7"/>
        <v>4.0884024503043204E-3</v>
      </c>
      <c r="F210" s="7"/>
    </row>
    <row r="211" spans="1:6">
      <c r="A211" s="12">
        <v>45936</v>
      </c>
      <c r="B211" s="44">
        <v>16.092400000000001</v>
      </c>
      <c r="C211" s="35">
        <v>14003.25</v>
      </c>
      <c r="D211" s="17">
        <f t="shared" si="6"/>
        <v>7.0769167803898247E-3</v>
      </c>
      <c r="E211" s="17">
        <f t="shared" si="7"/>
        <v>2.407758247270663E-3</v>
      </c>
      <c r="F211" s="7"/>
    </row>
    <row r="212" spans="1:6">
      <c r="A212" s="14">
        <v>45937</v>
      </c>
      <c r="B212" s="45">
        <v>16.112100000000002</v>
      </c>
      <c r="C212" s="35">
        <v>14029.1</v>
      </c>
      <c r="D212" s="17">
        <f t="shared" si="6"/>
        <v>1.8442982716227209E-3</v>
      </c>
      <c r="E212" s="17">
        <f t="shared" si="7"/>
        <v>1.2234316606202418E-3</v>
      </c>
      <c r="F212" s="7"/>
    </row>
    <row r="213" spans="1:6">
      <c r="A213" s="12">
        <v>45938</v>
      </c>
      <c r="B213" s="44">
        <v>16.075800000000001</v>
      </c>
      <c r="C213" s="35">
        <v>13972.25</v>
      </c>
      <c r="D213" s="17">
        <f t="shared" si="6"/>
        <v>-4.0605240898167879E-3</v>
      </c>
      <c r="E213" s="17">
        <f t="shared" si="7"/>
        <v>-2.2555069071991101E-3</v>
      </c>
      <c r="F213" s="7"/>
    </row>
    <row r="214" spans="1:6">
      <c r="A214" s="14">
        <v>45939</v>
      </c>
      <c r="B214" s="45">
        <v>16.130500000000001</v>
      </c>
      <c r="C214" s="35">
        <v>14059.05</v>
      </c>
      <c r="D214" s="17">
        <f t="shared" si="6"/>
        <v>6.1930968189367426E-3</v>
      </c>
      <c r="E214" s="17">
        <f t="shared" si="7"/>
        <v>3.3968541929286079E-3</v>
      </c>
      <c r="F214" s="7"/>
    </row>
    <row r="215" spans="1:6">
      <c r="A215" s="12">
        <v>45940</v>
      </c>
      <c r="B215" s="44">
        <v>16.1645</v>
      </c>
      <c r="C215" s="35">
        <v>14114.85</v>
      </c>
      <c r="D215" s="17">
        <f t="shared" si="6"/>
        <v>3.9611181242644178E-3</v>
      </c>
      <c r="E215" s="17">
        <f t="shared" si="7"/>
        <v>2.1055898784088801E-3</v>
      </c>
      <c r="F215" s="7"/>
    </row>
    <row r="216" spans="1:6">
      <c r="A216" s="14">
        <v>45943</v>
      </c>
      <c r="B216" s="45">
        <v>16.155200000000001</v>
      </c>
      <c r="C216" s="35">
        <v>14092.25</v>
      </c>
      <c r="D216" s="17">
        <f t="shared" si="6"/>
        <v>-1.6024337727743602E-3</v>
      </c>
      <c r="E216" s="17">
        <f t="shared" si="7"/>
        <v>-5.7550040728592791E-4</v>
      </c>
      <c r="F216" s="7"/>
    </row>
    <row r="217" spans="1:6">
      <c r="A217" s="12">
        <v>45944</v>
      </c>
      <c r="B217" s="44">
        <v>16.110299999999999</v>
      </c>
      <c r="C217" s="35">
        <v>14031.95</v>
      </c>
      <c r="D217" s="17">
        <f t="shared" si="6"/>
        <v>-4.2881285440940333E-3</v>
      </c>
      <c r="E217" s="17">
        <f t="shared" si="7"/>
        <v>-2.783160278494178E-3</v>
      </c>
      <c r="F217" s="7"/>
    </row>
    <row r="218" spans="1:6">
      <c r="A218" s="14">
        <v>45945</v>
      </c>
      <c r="B218" s="45">
        <v>16.181000000000001</v>
      </c>
      <c r="C218" s="35">
        <v>14153.15</v>
      </c>
      <c r="D218" s="17">
        <f t="shared" si="6"/>
        <v>8.600341815672808E-3</v>
      </c>
      <c r="E218" s="17">
        <f t="shared" si="7"/>
        <v>4.3788954282457711E-3</v>
      </c>
      <c r="F218" s="7"/>
    </row>
    <row r="219" spans="1:6">
      <c r="A219" s="12">
        <v>45946</v>
      </c>
      <c r="B219" s="44">
        <v>16.250399999999999</v>
      </c>
      <c r="C219" s="35">
        <v>14274.35</v>
      </c>
      <c r="D219" s="17">
        <f t="shared" si="6"/>
        <v>8.5270061995210197E-3</v>
      </c>
      <c r="E219" s="17">
        <f t="shared" si="7"/>
        <v>4.2798094397371225E-3</v>
      </c>
      <c r="F219" s="7"/>
    </row>
    <row r="220" spans="1:6">
      <c r="A220" s="14">
        <v>45947</v>
      </c>
      <c r="B220" s="45">
        <v>16.258700000000001</v>
      </c>
      <c r="C220" s="35">
        <v>14304.6</v>
      </c>
      <c r="D220" s="17">
        <f t="shared" si="6"/>
        <v>2.1169435054113491E-3</v>
      </c>
      <c r="E220" s="17">
        <f t="shared" si="7"/>
        <v>5.1062626651290075E-4</v>
      </c>
      <c r="F220" s="7"/>
    </row>
    <row r="221" spans="1:6">
      <c r="A221" s="12">
        <v>45950</v>
      </c>
      <c r="B221" s="44">
        <v>16.3767</v>
      </c>
      <c r="C221" s="35">
        <v>14377.25</v>
      </c>
      <c r="D221" s="17">
        <f t="shared" si="6"/>
        <v>5.0659323141337871E-3</v>
      </c>
      <c r="E221" s="17">
        <f t="shared" si="7"/>
        <v>7.2314428026973064E-3</v>
      </c>
      <c r="F221" s="7"/>
    </row>
    <row r="222" spans="1:6">
      <c r="A222" s="14">
        <v>45953</v>
      </c>
      <c r="B222" s="45">
        <v>16.403600000000001</v>
      </c>
      <c r="C222" s="35">
        <v>14396.4</v>
      </c>
      <c r="D222" s="17">
        <f t="shared" si="6"/>
        <v>1.3310791524503306E-3</v>
      </c>
      <c r="E222" s="17">
        <f t="shared" si="7"/>
        <v>1.6412300093796644E-3</v>
      </c>
      <c r="F222" s="7"/>
    </row>
    <row r="223" spans="1:6">
      <c r="A223" s="12">
        <v>45954</v>
      </c>
      <c r="B223" s="44">
        <v>16.3874</v>
      </c>
      <c r="C223" s="35">
        <v>14351.4</v>
      </c>
      <c r="D223" s="17">
        <f t="shared" si="6"/>
        <v>-3.1306769042682378E-3</v>
      </c>
      <c r="E223" s="17">
        <f t="shared" si="7"/>
        <v>-9.8807607685022741E-4</v>
      </c>
      <c r="F223" s="7"/>
    </row>
    <row r="224" spans="1:6">
      <c r="A224" s="14">
        <v>45957</v>
      </c>
      <c r="B224" s="45">
        <v>16.4819</v>
      </c>
      <c r="C224" s="35">
        <v>14447.6</v>
      </c>
      <c r="D224" s="17">
        <f t="shared" si="6"/>
        <v>6.6808123761002572E-3</v>
      </c>
      <c r="E224" s="17">
        <f t="shared" si="7"/>
        <v>5.7500622387869453E-3</v>
      </c>
      <c r="F224" s="7"/>
    </row>
    <row r="225" spans="1:6">
      <c r="A225" s="12">
        <v>45958</v>
      </c>
      <c r="B225" s="44">
        <v>16.4846</v>
      </c>
      <c r="C225" s="35">
        <v>14425.7</v>
      </c>
      <c r="D225" s="17">
        <f t="shared" si="6"/>
        <v>-1.5169727187193736E-3</v>
      </c>
      <c r="E225" s="17">
        <f t="shared" si="7"/>
        <v>1.6380264850920635E-4</v>
      </c>
      <c r="F225" s="7"/>
    </row>
    <row r="226" spans="1:6">
      <c r="A226" s="14">
        <v>45959</v>
      </c>
      <c r="B226" s="45">
        <v>16.579699999999999</v>
      </c>
      <c r="C226" s="35">
        <v>14514.55</v>
      </c>
      <c r="D226" s="17">
        <f t="shared" si="6"/>
        <v>6.1402565048517621E-3</v>
      </c>
      <c r="E226" s="17">
        <f t="shared" si="7"/>
        <v>5.7524437077409053E-3</v>
      </c>
      <c r="F226" s="7"/>
    </row>
    <row r="227" spans="1:6">
      <c r="A227" s="12">
        <v>45960</v>
      </c>
      <c r="B227" s="44">
        <v>16.517600000000002</v>
      </c>
      <c r="C227" s="35">
        <v>14440.65</v>
      </c>
      <c r="D227" s="17">
        <f t="shared" si="6"/>
        <v>-5.1044482827071642E-3</v>
      </c>
      <c r="E227" s="17">
        <f t="shared" si="7"/>
        <v>-3.7525763656520374E-3</v>
      </c>
      <c r="F227" s="7"/>
    </row>
    <row r="228" spans="1:6">
      <c r="A228" s="14">
        <v>45961</v>
      </c>
      <c r="B228" s="45">
        <v>16.488399999999999</v>
      </c>
      <c r="C228" s="35">
        <v>14362.3</v>
      </c>
      <c r="D228" s="17">
        <f t="shared" si="6"/>
        <v>-5.4404283763908271E-3</v>
      </c>
      <c r="E228" s="17">
        <f t="shared" si="7"/>
        <v>-1.7693757267173578E-3</v>
      </c>
      <c r="F228" s="7"/>
    </row>
    <row r="229" spans="1:6">
      <c r="A229" s="12">
        <v>45964</v>
      </c>
      <c r="B229" s="44">
        <v>16.542000000000002</v>
      </c>
      <c r="C229" s="35">
        <v>14416.35</v>
      </c>
      <c r="D229" s="17">
        <f t="shared" si="6"/>
        <v>3.7562612250065376E-3</v>
      </c>
      <c r="E229" s="17">
        <f t="shared" si="7"/>
        <v>3.2454979078993551E-3</v>
      </c>
      <c r="F229" s="7"/>
    </row>
    <row r="230" spans="1:6">
      <c r="A230" s="14">
        <v>45965</v>
      </c>
      <c r="B230" s="45">
        <v>16.5017</v>
      </c>
      <c r="C230" s="35">
        <v>14333.45</v>
      </c>
      <c r="D230" s="17">
        <f t="shared" si="6"/>
        <v>-5.7670126234077397E-3</v>
      </c>
      <c r="E230" s="17">
        <f t="shared" si="7"/>
        <v>-2.4391953674067451E-3</v>
      </c>
      <c r="F230" s="7"/>
    </row>
    <row r="231" spans="1:6">
      <c r="A231" s="12">
        <v>45967</v>
      </c>
      <c r="B231" s="44">
        <v>16.456</v>
      </c>
      <c r="C231" s="35">
        <v>14251</v>
      </c>
      <c r="D231" s="17">
        <f t="shared" si="6"/>
        <v>-5.7688868361355367E-3</v>
      </c>
      <c r="E231" s="17">
        <f t="shared" si="7"/>
        <v>-2.7732535516520858E-3</v>
      </c>
      <c r="F231" s="7"/>
    </row>
    <row r="232" spans="1:6">
      <c r="A232" s="14">
        <v>45968</v>
      </c>
      <c r="B232" s="45">
        <v>16.4496</v>
      </c>
      <c r="C232" s="35">
        <v>14262.45</v>
      </c>
      <c r="D232" s="17">
        <f t="shared" si="6"/>
        <v>8.0312979421681685E-4</v>
      </c>
      <c r="E232" s="17">
        <f t="shared" si="7"/>
        <v>-3.8899154433896885E-4</v>
      </c>
      <c r="F232" s="7"/>
    </row>
    <row r="233" spans="1:6">
      <c r="A233" s="12">
        <v>45971</v>
      </c>
      <c r="B233" s="44">
        <v>16.476600000000001</v>
      </c>
      <c r="C233" s="35">
        <v>14313.3</v>
      </c>
      <c r="D233" s="17">
        <f t="shared" si="6"/>
        <v>3.5589654635946578E-3</v>
      </c>
      <c r="E233" s="17">
        <f t="shared" si="7"/>
        <v>1.6400317104211285E-3</v>
      </c>
      <c r="F233" s="7"/>
    </row>
    <row r="234" spans="1:6">
      <c r="A234" s="14">
        <v>45972</v>
      </c>
      <c r="B234" s="45">
        <v>16.5108</v>
      </c>
      <c r="C234" s="35">
        <v>14375.15</v>
      </c>
      <c r="D234" s="17">
        <f t="shared" si="6"/>
        <v>4.311846462694161E-3</v>
      </c>
      <c r="E234" s="17">
        <f t="shared" si="7"/>
        <v>2.0735197228959421E-3</v>
      </c>
      <c r="F234" s="7"/>
    </row>
    <row r="235" spans="1:6">
      <c r="A235" s="12">
        <v>45973</v>
      </c>
      <c r="B235" s="44">
        <v>16.578700000000001</v>
      </c>
      <c r="C235" s="35">
        <v>14467.15</v>
      </c>
      <c r="D235" s="17">
        <f t="shared" si="6"/>
        <v>6.3795406068112509E-3</v>
      </c>
      <c r="E235" s="17">
        <f t="shared" si="7"/>
        <v>4.1040266733241432E-3</v>
      </c>
      <c r="F235" s="7"/>
    </row>
    <row r="236" spans="1:6">
      <c r="A236" s="14">
        <v>45974</v>
      </c>
      <c r="B236" s="45">
        <v>16.5776</v>
      </c>
      <c r="C236" s="35">
        <v>14460.55</v>
      </c>
      <c r="D236" s="17">
        <f t="shared" si="6"/>
        <v>-4.5631004984983002E-4</v>
      </c>
      <c r="E236" s="17">
        <f t="shared" si="7"/>
        <v>-6.6352397607920713E-5</v>
      </c>
      <c r="F236" s="7"/>
    </row>
    <row r="237" spans="1:6">
      <c r="A237" s="12">
        <v>45975</v>
      </c>
      <c r="B237" s="44">
        <v>16.5869</v>
      </c>
      <c r="C237" s="35">
        <v>14472.6</v>
      </c>
      <c r="D237" s="17">
        <f t="shared" si="6"/>
        <v>8.3295463485340835E-4</v>
      </c>
      <c r="E237" s="17">
        <f t="shared" si="7"/>
        <v>5.608406726331529E-4</v>
      </c>
      <c r="F237" s="7"/>
    </row>
    <row r="238" spans="1:6">
      <c r="A238" s="14">
        <v>45978</v>
      </c>
      <c r="B238" s="45">
        <v>16.618600000000001</v>
      </c>
      <c r="C238" s="35">
        <v>14541.45</v>
      </c>
      <c r="D238" s="17">
        <f t="shared" si="6"/>
        <v>4.7459854266170103E-3</v>
      </c>
      <c r="E238" s="17">
        <f t="shared" si="7"/>
        <v>1.9093228308702038E-3</v>
      </c>
      <c r="F238" s="7"/>
    </row>
    <row r="239" spans="1:6">
      <c r="A239" s="12">
        <v>45979</v>
      </c>
      <c r="B239" s="44">
        <v>16.597799999999999</v>
      </c>
      <c r="C239" s="35">
        <v>14472.15</v>
      </c>
      <c r="D239" s="17">
        <f t="shared" si="6"/>
        <v>-4.7770791482789204E-3</v>
      </c>
      <c r="E239" s="17">
        <f t="shared" si="7"/>
        <v>-1.2523935597304858E-3</v>
      </c>
      <c r="F239" s="7"/>
    </row>
    <row r="240" spans="1:6">
      <c r="A240" s="14">
        <v>45980</v>
      </c>
      <c r="B240" s="45">
        <v>16.620100000000001</v>
      </c>
      <c r="C240" s="35">
        <v>14531.85</v>
      </c>
      <c r="D240" s="17">
        <f t="shared" si="6"/>
        <v>4.1166793760547132E-3</v>
      </c>
      <c r="E240" s="17">
        <f t="shared" si="7"/>
        <v>1.3426497972500245E-3</v>
      </c>
      <c r="F240" s="7"/>
    </row>
    <row r="241" spans="1:6">
      <c r="A241" s="12">
        <v>45981</v>
      </c>
      <c r="B241" s="44">
        <v>16.651199999999999</v>
      </c>
      <c r="C241" s="35">
        <v>14583.8</v>
      </c>
      <c r="D241" s="17">
        <f t="shared" si="6"/>
        <v>3.568531365736195E-3</v>
      </c>
      <c r="E241" s="17">
        <f t="shared" si="7"/>
        <v>1.8694796450846758E-3</v>
      </c>
      <c r="F241" s="7"/>
    </row>
    <row r="242" spans="1:6">
      <c r="A242" s="14">
        <v>45982</v>
      </c>
      <c r="B242" s="45">
        <v>16.586200000000002</v>
      </c>
      <c r="C242" s="35">
        <v>14481.5</v>
      </c>
      <c r="D242" s="17">
        <f t="shared" si="6"/>
        <v>-7.0393508709270802E-3</v>
      </c>
      <c r="E242" s="17">
        <f t="shared" si="7"/>
        <v>-3.9112615826728545E-3</v>
      </c>
      <c r="F242" s="7"/>
    </row>
    <row r="243" spans="1:6">
      <c r="A243" s="12">
        <v>45985</v>
      </c>
      <c r="B243" s="44">
        <v>16.553000000000001</v>
      </c>
      <c r="C243" s="35">
        <v>14412.85</v>
      </c>
      <c r="D243" s="17">
        <f t="shared" si="6"/>
        <v>-4.7518029770013933E-3</v>
      </c>
      <c r="E243" s="17">
        <f t="shared" si="7"/>
        <v>-2.003670040756488E-3</v>
      </c>
      <c r="F243" s="7"/>
    </row>
    <row r="244" spans="1:6">
      <c r="A244" s="14">
        <v>45986</v>
      </c>
      <c r="B244" s="45">
        <v>16.561399999999999</v>
      </c>
      <c r="C244" s="35">
        <v>14398.65</v>
      </c>
      <c r="D244" s="17">
        <f t="shared" si="6"/>
        <v>-9.8571758844723722E-4</v>
      </c>
      <c r="E244" s="17">
        <f t="shared" si="7"/>
        <v>5.0733216849268388E-4</v>
      </c>
      <c r="F244" s="7"/>
    </row>
    <row r="245" spans="1:6">
      <c r="A245" s="12">
        <v>45987</v>
      </c>
      <c r="B245" s="44">
        <v>16.689</v>
      </c>
      <c r="C245" s="35">
        <v>14582.5</v>
      </c>
      <c r="D245" s="17">
        <f t="shared" si="6"/>
        <v>1.2687727458506598E-2</v>
      </c>
      <c r="E245" s="17">
        <f t="shared" si="7"/>
        <v>7.6751333147445297E-3</v>
      </c>
      <c r="F245" s="7"/>
    </row>
    <row r="246" spans="1:6">
      <c r="A246" s="14">
        <v>45988</v>
      </c>
      <c r="B246" s="45">
        <v>16.692799999999998</v>
      </c>
      <c r="C246" s="35">
        <v>14585.35</v>
      </c>
      <c r="D246" s="17">
        <f t="shared" si="6"/>
        <v>1.9542064355586449E-4</v>
      </c>
      <c r="E246" s="17">
        <f t="shared" si="7"/>
        <v>2.2766897030195241E-4</v>
      </c>
      <c r="F246" s="7"/>
    </row>
    <row r="247" spans="1:6">
      <c r="A247" s="12">
        <v>45989</v>
      </c>
      <c r="B247" s="44">
        <v>16.679600000000001</v>
      </c>
      <c r="C247" s="35">
        <v>14579.35</v>
      </c>
      <c r="D247" s="17">
        <f t="shared" ref="D247" si="8">LN(C247/C246)</f>
        <v>-4.1145632114499611E-4</v>
      </c>
      <c r="E247" s="17">
        <f>LN(B247/B246)</f>
        <v>-7.9107290385907838E-4</v>
      </c>
      <c r="F247" s="2"/>
    </row>
    <row r="248" spans="1:6" ht="15" thickBot="1">
      <c r="A248" s="42"/>
      <c r="B248" s="43"/>
      <c r="D248" s="7"/>
      <c r="E248" s="2"/>
      <c r="F248" s="2"/>
    </row>
    <row r="249" spans="1:6" ht="15" thickBot="1">
      <c r="A249" s="22"/>
      <c r="B249" s="23"/>
      <c r="D249" s="7"/>
      <c r="E249" s="2"/>
      <c r="F249" s="2"/>
    </row>
    <row r="250" spans="1:6" ht="15" thickBot="1">
      <c r="A250" s="26"/>
      <c r="B250" s="27"/>
      <c r="D250" s="7"/>
      <c r="E250" s="2"/>
      <c r="F250" s="2"/>
    </row>
    <row r="251" spans="1:6" ht="15" thickBot="1">
      <c r="A251" s="26"/>
      <c r="B251" s="27"/>
    </row>
  </sheetData>
  <mergeCells count="5">
    <mergeCell ref="L5:M5"/>
    <mergeCell ref="L6:M6"/>
    <mergeCell ref="L2:M2"/>
    <mergeCell ref="L3:M3"/>
    <mergeCell ref="L4:M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24F2A-9F91-4E79-8069-86CB7A0C5607}">
  <sheetPr>
    <tabColor theme="4" tint="0.39997558519241921"/>
  </sheetPr>
  <dimension ref="A1:R250"/>
  <sheetViews>
    <sheetView zoomScale="83" workbookViewId="0">
      <selection activeCell="L21" sqref="L21"/>
    </sheetView>
  </sheetViews>
  <sheetFormatPr defaultRowHeight="14.4"/>
  <cols>
    <col min="1" max="1" width="12.44140625" style="1" bestFit="1" customWidth="1"/>
    <col min="2" max="2" width="9.6640625" bestFit="1" customWidth="1"/>
    <col min="3" max="3" width="19.5546875" bestFit="1" customWidth="1"/>
    <col min="4" max="4" width="14.77734375" customWidth="1"/>
    <col min="5" max="5" width="14.5546875" customWidth="1"/>
    <col min="6" max="6" width="12" bestFit="1" customWidth="1"/>
    <col min="7" max="7" width="10" customWidth="1"/>
    <col min="9" max="9" width="10.5546875" bestFit="1" customWidth="1"/>
    <col min="10" max="10" width="12.44140625" bestFit="1" customWidth="1"/>
    <col min="11" max="11" width="8.88671875" customWidth="1"/>
    <col min="12" max="12" width="12" customWidth="1"/>
    <col min="13" max="13" width="8.88671875" customWidth="1"/>
    <col min="14" max="14" width="12.6640625" bestFit="1" customWidth="1"/>
    <col min="16" max="16" width="10.109375" bestFit="1" customWidth="1"/>
    <col min="17" max="18" width="6.6640625" bestFit="1" customWidth="1"/>
  </cols>
  <sheetData>
    <row r="1" spans="1:18">
      <c r="A1" s="33" t="s">
        <v>0</v>
      </c>
      <c r="B1" s="34" t="s">
        <v>1</v>
      </c>
      <c r="C1" s="34" t="s">
        <v>34</v>
      </c>
      <c r="D1" s="34" t="s">
        <v>35</v>
      </c>
      <c r="E1" s="34" t="s">
        <v>27</v>
      </c>
      <c r="F1" s="31"/>
      <c r="H1" s="47" t="s">
        <v>26</v>
      </c>
      <c r="I1" s="47" t="s">
        <v>2</v>
      </c>
      <c r="J1" s="47" t="s">
        <v>35</v>
      </c>
      <c r="P1" s="39"/>
      <c r="Q1" s="39" t="s">
        <v>23</v>
      </c>
      <c r="R1" s="39" t="s">
        <v>36</v>
      </c>
    </row>
    <row r="2" spans="1:18">
      <c r="A2" s="58">
        <v>45628</v>
      </c>
      <c r="B2" s="59">
        <v>14.464499999999999</v>
      </c>
      <c r="C2" s="57">
        <v>2584.81</v>
      </c>
      <c r="D2" s="60"/>
      <c r="E2" s="60"/>
      <c r="F2" s="69" t="s">
        <v>25</v>
      </c>
      <c r="H2" s="16" t="s">
        <v>3</v>
      </c>
      <c r="I2" s="17">
        <f>(B22-$B$2)/$B$2</f>
        <v>6.1391683086177108E-3</v>
      </c>
      <c r="J2" s="17">
        <f>(C22-$C$2)/$C$2</f>
        <v>1.6132713816489695E-3</v>
      </c>
      <c r="K2" s="2"/>
      <c r="L2" s="81" t="s">
        <v>15</v>
      </c>
      <c r="M2" s="81"/>
      <c r="N2" s="17">
        <f>(B248/B2)^(12/12)-1</f>
        <v>7.1706592001106184E-2</v>
      </c>
      <c r="P2" s="16" t="s">
        <v>18</v>
      </c>
      <c r="Q2" s="66">
        <f>AVERAGE(I2:I13)</f>
        <v>4.0336686370078534E-2</v>
      </c>
      <c r="R2" s="66">
        <f>AVERAGE(J2:J13)</f>
        <v>4.5125818403157957E-2</v>
      </c>
    </row>
    <row r="3" spans="1:18">
      <c r="A3" s="61">
        <v>45629</v>
      </c>
      <c r="B3" s="62">
        <v>14.482100000000001</v>
      </c>
      <c r="C3" s="57">
        <v>2589.7600000000002</v>
      </c>
      <c r="D3" s="63">
        <f>LN(C3/C2)</f>
        <v>1.9132030332540129E-3</v>
      </c>
      <c r="E3" s="63">
        <f>LN(B3/B2)</f>
        <v>1.2160324299788385E-3</v>
      </c>
      <c r="F3" s="60">
        <f>SLOPE(E3:E250,D3:D250)</f>
        <v>0.10612092887433033</v>
      </c>
      <c r="H3" s="16" t="s">
        <v>4</v>
      </c>
      <c r="I3" s="17">
        <f>(B45-$B$2)/$B$2</f>
        <v>1.3197829167963011E-2</v>
      </c>
      <c r="J3" s="17">
        <f>(C45-$C$2)/$C$2</f>
        <v>1.2205926160917121E-2</v>
      </c>
      <c r="K3" s="2"/>
      <c r="L3" s="80" t="s">
        <v>16</v>
      </c>
      <c r="M3" s="80"/>
      <c r="N3" s="17">
        <f>_xlfn.STDEV.S(I2:I13)</f>
        <v>2.1402679782817374E-2</v>
      </c>
      <c r="P3" s="16" t="s">
        <v>19</v>
      </c>
      <c r="Q3" s="66">
        <v>0.06</v>
      </c>
      <c r="R3" s="16"/>
    </row>
    <row r="4" spans="1:18">
      <c r="A4" s="58">
        <v>45630</v>
      </c>
      <c r="B4" s="59">
        <v>14.4863</v>
      </c>
      <c r="C4" s="57">
        <v>2592.19</v>
      </c>
      <c r="D4" s="63">
        <f t="shared" ref="D4:D67" si="0">LN(C4/C3)</f>
        <v>9.378709474693888E-4</v>
      </c>
      <c r="E4" s="63">
        <f t="shared" ref="E4:E67" si="1">LN(B4/B3)</f>
        <v>2.899711429991257E-4</v>
      </c>
      <c r="F4" s="70"/>
      <c r="H4" s="16" t="s">
        <v>5</v>
      </c>
      <c r="I4" s="17">
        <f>(B64-$B$2)/$B$2</f>
        <v>1.8134052335027243E-2</v>
      </c>
      <c r="J4" s="17">
        <f>(C64-$C$2)/$C$2</f>
        <v>1.9649413303105438E-2</v>
      </c>
      <c r="K4" s="2"/>
      <c r="L4" s="80" t="s">
        <v>17</v>
      </c>
      <c r="M4" s="80"/>
      <c r="N4" s="64">
        <f>(Q2-Q3)/N3</f>
        <v>-0.91873138454875547</v>
      </c>
    </row>
    <row r="5" spans="1:18">
      <c r="A5" s="61">
        <v>45631</v>
      </c>
      <c r="B5" s="62">
        <v>14.4893</v>
      </c>
      <c r="C5" s="57">
        <v>2595.33</v>
      </c>
      <c r="D5" s="63">
        <f t="shared" si="0"/>
        <v>1.2105978901227044E-3</v>
      </c>
      <c r="E5" s="63">
        <f t="shared" si="1"/>
        <v>2.070707775313906E-4</v>
      </c>
      <c r="F5" s="70"/>
      <c r="H5" s="16" t="s">
        <v>6</v>
      </c>
      <c r="I5" s="17">
        <f>(B84-$B$2)/$B$2</f>
        <v>2.6001590099899826E-2</v>
      </c>
      <c r="J5" s="17">
        <f>(C84-$C$2)/$C$2</f>
        <v>2.8381196296826509E-2</v>
      </c>
      <c r="K5" s="2"/>
      <c r="L5" s="80" t="s">
        <v>20</v>
      </c>
      <c r="M5" s="80"/>
      <c r="N5" s="65">
        <f>(Q2-Q3)/F3</f>
        <v>-0.18529157102655022</v>
      </c>
    </row>
    <row r="6" spans="1:18">
      <c r="A6" s="58">
        <v>45632</v>
      </c>
      <c r="B6" s="59">
        <v>14.4816</v>
      </c>
      <c r="C6" s="57">
        <v>2592.59</v>
      </c>
      <c r="D6" s="63">
        <f t="shared" si="0"/>
        <v>-1.0563001182621197E-3</v>
      </c>
      <c r="E6" s="63">
        <f t="shared" si="1"/>
        <v>-5.315678961518418E-4</v>
      </c>
      <c r="F6" s="70"/>
      <c r="H6" s="16" t="s">
        <v>7</v>
      </c>
      <c r="I6" s="17">
        <f>(B103-$B$2)/$B$2</f>
        <v>3.3516540495696356E-2</v>
      </c>
      <c r="J6" s="17">
        <f>(C103-$C$2)/$C$2</f>
        <v>3.958898332952903E-2</v>
      </c>
      <c r="K6" s="2"/>
      <c r="L6" s="80" t="s">
        <v>21</v>
      </c>
      <c r="M6" s="80"/>
      <c r="N6" s="66">
        <f>Q2-(Q3+F3*(R2-Q3))</f>
        <v>-1.8084851662619118E-2</v>
      </c>
    </row>
    <row r="7" spans="1:18">
      <c r="A7" s="61">
        <v>45635</v>
      </c>
      <c r="B7" s="62">
        <v>14.493499999999999</v>
      </c>
      <c r="C7" s="57">
        <v>2593.7199999999998</v>
      </c>
      <c r="D7" s="63">
        <f t="shared" si="0"/>
        <v>4.3576262039141101E-4</v>
      </c>
      <c r="E7" s="63">
        <f t="shared" si="1"/>
        <v>8.2139496802889319E-4</v>
      </c>
      <c r="F7" s="70"/>
      <c r="H7" s="16" t="s">
        <v>8</v>
      </c>
      <c r="I7" s="17">
        <f>(B124-$B$2)/$B$2</f>
        <v>3.8432023229285572E-2</v>
      </c>
      <c r="J7" s="17">
        <f>(C124-$C$2)/$C$2</f>
        <v>4.4486828819139602E-2</v>
      </c>
      <c r="K7" s="2"/>
    </row>
    <row r="8" spans="1:18">
      <c r="A8" s="58">
        <v>45636</v>
      </c>
      <c r="B8" s="59">
        <v>14.4941</v>
      </c>
      <c r="C8" s="57">
        <v>2594.02</v>
      </c>
      <c r="D8" s="63">
        <f t="shared" si="0"/>
        <v>1.1565729983943115E-4</v>
      </c>
      <c r="E8" s="63">
        <f t="shared" si="1"/>
        <v>4.1397011141739634E-5</v>
      </c>
      <c r="F8" s="70"/>
      <c r="H8" s="16" t="s">
        <v>9</v>
      </c>
      <c r="I8" s="17">
        <f>(B145-$B$2)/$B$2</f>
        <v>4.4502056759653005E-2</v>
      </c>
      <c r="J8" s="17">
        <f>(C145-$C$2)/$C$2</f>
        <v>5.1268758632162514E-2</v>
      </c>
      <c r="K8" s="2"/>
    </row>
    <row r="9" spans="1:18">
      <c r="A9" s="61">
        <v>45637</v>
      </c>
      <c r="B9" s="62">
        <v>14.493399999999999</v>
      </c>
      <c r="C9" s="57">
        <v>2593.12</v>
      </c>
      <c r="D9" s="63">
        <f t="shared" si="0"/>
        <v>-3.4701203708842093E-4</v>
      </c>
      <c r="E9" s="63">
        <f t="shared" si="1"/>
        <v>-4.829667961269615E-5</v>
      </c>
      <c r="F9" s="70"/>
      <c r="H9" s="16" t="s">
        <v>10</v>
      </c>
      <c r="I9" s="17">
        <f>(B168-$B$2)/$B$2</f>
        <v>5.0779494624771035E-2</v>
      </c>
      <c r="J9" s="17">
        <f>(C168-$C$2)/$C$2</f>
        <v>5.6321354374209293E-2</v>
      </c>
      <c r="K9" s="2"/>
    </row>
    <row r="10" spans="1:18">
      <c r="A10" s="58">
        <v>45638</v>
      </c>
      <c r="B10" s="59">
        <v>14.4963</v>
      </c>
      <c r="C10" s="57">
        <v>2591.5300000000002</v>
      </c>
      <c r="D10" s="63">
        <f t="shared" si="0"/>
        <v>-6.1334903989502957E-4</v>
      </c>
      <c r="E10" s="63">
        <f t="shared" si="1"/>
        <v>2.0007106038867815E-4</v>
      </c>
      <c r="F10" s="70"/>
      <c r="H10" s="16" t="s">
        <v>11</v>
      </c>
      <c r="I10" s="17">
        <f>(B187-$B$2)/$B$2</f>
        <v>5.5860900826160714E-2</v>
      </c>
      <c r="J10" s="17">
        <f>(C187-$C$2)/$C$2</f>
        <v>6.1033499560896244E-2</v>
      </c>
      <c r="K10" s="2"/>
    </row>
    <row r="11" spans="1:18">
      <c r="A11" s="61">
        <v>45639</v>
      </c>
      <c r="B11" s="62">
        <v>14.500500000000001</v>
      </c>
      <c r="C11" s="57">
        <v>2598.9899999999998</v>
      </c>
      <c r="D11" s="63">
        <f t="shared" si="0"/>
        <v>2.8744731304683247E-3</v>
      </c>
      <c r="E11" s="63">
        <f t="shared" si="1"/>
        <v>2.8968713991689237E-4</v>
      </c>
      <c r="F11" s="70"/>
      <c r="H11" s="16" t="s">
        <v>12</v>
      </c>
      <c r="I11" s="17">
        <f>(B209-$B$2)/$B$2</f>
        <v>6.0064295343772701E-2</v>
      </c>
      <c r="J11" s="17">
        <f>(C209-$C$2)/$C$2</f>
        <v>6.6291139387421094E-2</v>
      </c>
      <c r="K11" s="2"/>
    </row>
    <row r="12" spans="1:18">
      <c r="A12" s="58">
        <v>45642</v>
      </c>
      <c r="B12" s="59">
        <v>14.5052</v>
      </c>
      <c r="C12" s="57">
        <v>2594.83</v>
      </c>
      <c r="D12" s="63">
        <f t="shared" si="0"/>
        <v>-1.6019041436091544E-3</v>
      </c>
      <c r="E12" s="63">
        <f t="shared" si="1"/>
        <v>3.2407423652130443E-4</v>
      </c>
      <c r="F12" s="70"/>
      <c r="H12" s="16" t="s">
        <v>13</v>
      </c>
      <c r="I12" s="17">
        <f>(B229-$B$2)/$B$2</f>
        <v>6.5705693248988922E-2</v>
      </c>
      <c r="J12" s="17">
        <f>(C229-$C$2)/$C$2</f>
        <v>7.5823754937500334E-2</v>
      </c>
      <c r="K12" s="2"/>
    </row>
    <row r="13" spans="1:18">
      <c r="A13" s="61">
        <v>45643</v>
      </c>
      <c r="B13" s="62">
        <v>14.5076</v>
      </c>
      <c r="C13" s="57">
        <v>2590.17</v>
      </c>
      <c r="D13" s="63">
        <f t="shared" si="0"/>
        <v>-1.7974932515709889E-3</v>
      </c>
      <c r="E13" s="63">
        <f t="shared" si="1"/>
        <v>1.654442181019868E-4</v>
      </c>
      <c r="F13" s="70"/>
      <c r="H13" s="16" t="s">
        <v>14</v>
      </c>
      <c r="I13" s="17">
        <f>(B248-$B$2)/$B$2</f>
        <v>7.1706592001106184E-2</v>
      </c>
      <c r="J13" s="17">
        <f>(C248-$C$2)/$C$2</f>
        <v>8.484569465453938E-2</v>
      </c>
      <c r="K13" s="2"/>
    </row>
    <row r="14" spans="1:18">
      <c r="A14" s="58">
        <v>45644</v>
      </c>
      <c r="B14" s="59">
        <v>14.518800000000001</v>
      </c>
      <c r="C14" s="57">
        <v>2593.75</v>
      </c>
      <c r="D14" s="63">
        <f t="shared" si="0"/>
        <v>1.3811943738058175E-3</v>
      </c>
      <c r="E14" s="63">
        <f t="shared" si="1"/>
        <v>7.7171130803926902E-4</v>
      </c>
      <c r="F14" s="70"/>
    </row>
    <row r="15" spans="1:18">
      <c r="A15" s="61">
        <v>45645</v>
      </c>
      <c r="B15" s="62">
        <v>14.5159</v>
      </c>
      <c r="C15" s="57">
        <v>2595.39</v>
      </c>
      <c r="D15" s="63">
        <f t="shared" si="0"/>
        <v>6.3208934605852684E-4</v>
      </c>
      <c r="E15" s="63">
        <f t="shared" si="1"/>
        <v>-1.997609763244176E-4</v>
      </c>
      <c r="F15" s="70"/>
    </row>
    <row r="16" spans="1:18">
      <c r="A16" s="58">
        <v>45646</v>
      </c>
      <c r="B16" s="59">
        <v>14.5312</v>
      </c>
      <c r="C16" s="57">
        <v>2593.7600000000002</v>
      </c>
      <c r="D16" s="63">
        <f t="shared" si="0"/>
        <v>-6.2823393180388813E-4</v>
      </c>
      <c r="E16" s="63">
        <f t="shared" si="1"/>
        <v>1.0534615445239248E-3</v>
      </c>
      <c r="F16" s="70"/>
    </row>
    <row r="17" spans="1:10">
      <c r="A17" s="61">
        <v>45649</v>
      </c>
      <c r="B17" s="62">
        <v>14.5375</v>
      </c>
      <c r="C17" s="57">
        <v>2597.14</v>
      </c>
      <c r="D17" s="63">
        <f t="shared" si="0"/>
        <v>1.3022791722771543E-3</v>
      </c>
      <c r="E17" s="63">
        <f t="shared" si="1"/>
        <v>4.33455923287794E-4</v>
      </c>
      <c r="F17" s="70"/>
    </row>
    <row r="18" spans="1:10">
      <c r="A18" s="58">
        <v>45650</v>
      </c>
      <c r="B18" s="59">
        <v>14.5344</v>
      </c>
      <c r="C18" s="57">
        <v>2595.3200000000002</v>
      </c>
      <c r="D18" s="63">
        <f t="shared" si="0"/>
        <v>-7.0101650259507488E-4</v>
      </c>
      <c r="E18" s="63">
        <f t="shared" si="1"/>
        <v>-2.132643557352372E-4</v>
      </c>
      <c r="F18" s="70"/>
      <c r="J18" s="2"/>
    </row>
    <row r="19" spans="1:10">
      <c r="A19" s="61">
        <v>45652</v>
      </c>
      <c r="B19" s="62">
        <v>14.5418</v>
      </c>
      <c r="C19" s="57">
        <v>2591.65</v>
      </c>
      <c r="D19" s="63">
        <f t="shared" si="0"/>
        <v>-1.4150845724654015E-3</v>
      </c>
      <c r="E19" s="63">
        <f t="shared" si="1"/>
        <v>5.0900737783969856E-4</v>
      </c>
      <c r="F19" s="70"/>
    </row>
    <row r="20" spans="1:10">
      <c r="A20" s="58">
        <v>45653</v>
      </c>
      <c r="B20" s="59">
        <v>14.5435</v>
      </c>
      <c r="C20" s="57">
        <v>2590.94</v>
      </c>
      <c r="D20" s="63">
        <f t="shared" si="0"/>
        <v>-2.7399427870688033E-4</v>
      </c>
      <c r="E20" s="63">
        <f t="shared" si="1"/>
        <v>1.1689753943995237E-4</v>
      </c>
      <c r="F20" s="70"/>
    </row>
    <row r="21" spans="1:10">
      <c r="A21" s="61">
        <v>45656</v>
      </c>
      <c r="B21" s="62">
        <v>14.5367</v>
      </c>
      <c r="C21" s="57">
        <v>2586.96</v>
      </c>
      <c r="D21" s="63">
        <f t="shared" si="0"/>
        <v>-1.5373030702902795E-3</v>
      </c>
      <c r="E21" s="63">
        <f t="shared" si="1"/>
        <v>-4.6767217033860431E-4</v>
      </c>
      <c r="F21" s="70"/>
    </row>
    <row r="22" spans="1:10">
      <c r="A22" s="58">
        <v>45657</v>
      </c>
      <c r="B22" s="59">
        <v>14.5533</v>
      </c>
      <c r="C22" s="57">
        <v>2588.98</v>
      </c>
      <c r="D22" s="63">
        <f t="shared" si="0"/>
        <v>7.805345898732924E-4</v>
      </c>
      <c r="E22" s="63">
        <f t="shared" si="1"/>
        <v>1.1412857890573315E-3</v>
      </c>
      <c r="F22" s="70"/>
    </row>
    <row r="23" spans="1:10">
      <c r="A23" s="61">
        <v>45658</v>
      </c>
      <c r="B23" s="62">
        <v>14.5616</v>
      </c>
      <c r="C23" s="57">
        <v>2590.86</v>
      </c>
      <c r="D23" s="63">
        <f t="shared" si="0"/>
        <v>7.2589117909074494E-4</v>
      </c>
      <c r="E23" s="63">
        <f t="shared" si="1"/>
        <v>5.7015481590830285E-4</v>
      </c>
      <c r="F23" s="70"/>
    </row>
    <row r="24" spans="1:10">
      <c r="A24" s="58">
        <v>45659</v>
      </c>
      <c r="B24" s="59">
        <v>14.562099999999999</v>
      </c>
      <c r="C24" s="57">
        <v>2600.33</v>
      </c>
      <c r="D24" s="63">
        <f t="shared" si="0"/>
        <v>3.64849312199745E-3</v>
      </c>
      <c r="E24" s="63">
        <f t="shared" si="1"/>
        <v>3.4336296559096383E-5</v>
      </c>
      <c r="F24" s="70"/>
    </row>
    <row r="25" spans="1:10">
      <c r="A25" s="61">
        <v>45660</v>
      </c>
      <c r="B25" s="62">
        <v>14.574400000000001</v>
      </c>
      <c r="C25" s="57">
        <v>2597.48</v>
      </c>
      <c r="D25" s="63">
        <f t="shared" si="0"/>
        <v>-1.0966157999654702E-3</v>
      </c>
      <c r="E25" s="63">
        <f t="shared" si="1"/>
        <v>8.4430187089519612E-4</v>
      </c>
      <c r="F25" s="70"/>
    </row>
    <row r="26" spans="1:10">
      <c r="A26" s="58">
        <v>45663</v>
      </c>
      <c r="B26" s="59">
        <v>14.5869</v>
      </c>
      <c r="C26" s="57">
        <v>2599.23</v>
      </c>
      <c r="D26" s="63">
        <f t="shared" si="0"/>
        <v>6.7350306873039192E-4</v>
      </c>
      <c r="E26" s="63">
        <f t="shared" si="1"/>
        <v>8.5730065296040858E-4</v>
      </c>
      <c r="F26" s="70"/>
    </row>
    <row r="27" spans="1:10">
      <c r="A27" s="61">
        <v>45664</v>
      </c>
      <c r="B27" s="62">
        <v>14.5854</v>
      </c>
      <c r="C27" s="57">
        <v>2603.7199999999998</v>
      </c>
      <c r="D27" s="63">
        <f t="shared" si="0"/>
        <v>1.725944364100618E-3</v>
      </c>
      <c r="E27" s="63">
        <f t="shared" si="1"/>
        <v>-1.028372806615837E-4</v>
      </c>
      <c r="F27" s="70"/>
    </row>
    <row r="28" spans="1:10">
      <c r="A28" s="58">
        <v>45665</v>
      </c>
      <c r="B28" s="59">
        <v>14.585699999999999</v>
      </c>
      <c r="C28" s="57">
        <v>2602.87</v>
      </c>
      <c r="D28" s="63">
        <f t="shared" si="0"/>
        <v>-3.2650929208999407E-4</v>
      </c>
      <c r="E28" s="63">
        <f t="shared" si="1"/>
        <v>2.0568302190143629E-5</v>
      </c>
      <c r="F28" s="70"/>
    </row>
    <row r="29" spans="1:10">
      <c r="A29" s="61">
        <v>45666</v>
      </c>
      <c r="B29" s="62">
        <v>14.5848</v>
      </c>
      <c r="C29" s="57">
        <v>2599.67</v>
      </c>
      <c r="D29" s="63">
        <f t="shared" si="0"/>
        <v>-1.2301684959848363E-3</v>
      </c>
      <c r="E29" s="63">
        <f t="shared" si="1"/>
        <v>-6.1706175779274811E-5</v>
      </c>
      <c r="F29" s="70"/>
    </row>
    <row r="30" spans="1:10">
      <c r="A30" s="58">
        <v>45667</v>
      </c>
      <c r="B30" s="59">
        <v>14.598000000000001</v>
      </c>
      <c r="C30" s="57">
        <v>2604.8200000000002</v>
      </c>
      <c r="D30" s="63">
        <f t="shared" si="0"/>
        <v>1.9790610341877137E-3</v>
      </c>
      <c r="E30" s="63">
        <f t="shared" si="1"/>
        <v>9.0464252232261766E-4</v>
      </c>
      <c r="F30" s="70"/>
    </row>
    <row r="31" spans="1:10">
      <c r="A31" s="61">
        <v>45670</v>
      </c>
      <c r="B31" s="62">
        <v>14.601800000000001</v>
      </c>
      <c r="C31" s="57">
        <v>2604.21</v>
      </c>
      <c r="D31" s="63">
        <f t="shared" si="0"/>
        <v>-2.3420867331866367E-4</v>
      </c>
      <c r="E31" s="63">
        <f t="shared" si="1"/>
        <v>2.6027575678276186E-4</v>
      </c>
      <c r="F31" s="70"/>
    </row>
    <row r="32" spans="1:10">
      <c r="A32" s="58">
        <v>45671</v>
      </c>
      <c r="B32" s="59">
        <v>14.595800000000001</v>
      </c>
      <c r="C32" s="57">
        <v>2601.6999999999998</v>
      </c>
      <c r="D32" s="63">
        <f t="shared" si="0"/>
        <v>-9.6428873895032735E-4</v>
      </c>
      <c r="E32" s="63">
        <f t="shared" si="1"/>
        <v>-4.1099269011548282E-4</v>
      </c>
      <c r="F32" s="70"/>
    </row>
    <row r="33" spans="1:6">
      <c r="A33" s="61">
        <v>45672</v>
      </c>
      <c r="B33" s="62">
        <v>14.605399999999999</v>
      </c>
      <c r="C33" s="57">
        <v>2608.08</v>
      </c>
      <c r="D33" s="63">
        <f t="shared" si="0"/>
        <v>2.4492409235522361E-3</v>
      </c>
      <c r="E33" s="63">
        <f t="shared" si="1"/>
        <v>6.57507249417849E-4</v>
      </c>
      <c r="F33" s="70"/>
    </row>
    <row r="34" spans="1:6">
      <c r="A34" s="58">
        <v>45673</v>
      </c>
      <c r="B34" s="59">
        <v>14.606</v>
      </c>
      <c r="C34" s="57">
        <v>2608.7399999999998</v>
      </c>
      <c r="D34" s="63">
        <f t="shared" si="0"/>
        <v>2.530277078838574E-4</v>
      </c>
      <c r="E34" s="63">
        <f t="shared" si="1"/>
        <v>4.1079852392115866E-5</v>
      </c>
      <c r="F34" s="70"/>
    </row>
    <row r="35" spans="1:6">
      <c r="A35" s="61">
        <v>45674</v>
      </c>
      <c r="B35" s="62">
        <v>14.6135</v>
      </c>
      <c r="C35" s="57">
        <v>2608.64</v>
      </c>
      <c r="D35" s="63">
        <f t="shared" si="0"/>
        <v>-3.8333416393762183E-5</v>
      </c>
      <c r="E35" s="63">
        <f t="shared" si="1"/>
        <v>5.1335581818359147E-4</v>
      </c>
      <c r="F35" s="70"/>
    </row>
    <row r="36" spans="1:6">
      <c r="A36" s="58">
        <v>45677</v>
      </c>
      <c r="B36" s="59">
        <v>14.6172</v>
      </c>
      <c r="C36" s="57">
        <v>2607.5500000000002</v>
      </c>
      <c r="D36" s="63">
        <f t="shared" si="0"/>
        <v>-4.1792956769788815E-4</v>
      </c>
      <c r="E36" s="63">
        <f t="shared" si="1"/>
        <v>2.5315849567474053E-4</v>
      </c>
      <c r="F36" s="70"/>
    </row>
    <row r="37" spans="1:6">
      <c r="A37" s="61">
        <v>45678</v>
      </c>
      <c r="B37" s="62">
        <v>14.6226</v>
      </c>
      <c r="C37" s="57">
        <v>2604.69</v>
      </c>
      <c r="D37" s="63">
        <f t="shared" si="0"/>
        <v>-1.0974169597066834E-3</v>
      </c>
      <c r="E37" s="63">
        <f t="shared" si="1"/>
        <v>3.6935957574207726E-4</v>
      </c>
      <c r="F37" s="70"/>
    </row>
    <row r="38" spans="1:6">
      <c r="A38" s="58">
        <v>45679</v>
      </c>
      <c r="B38" s="59">
        <v>14.620699999999999</v>
      </c>
      <c r="C38" s="57">
        <v>2613.13</v>
      </c>
      <c r="D38" s="63">
        <f t="shared" si="0"/>
        <v>3.2350703400503091E-3</v>
      </c>
      <c r="E38" s="63">
        <f t="shared" si="1"/>
        <v>-1.2994429511537363E-4</v>
      </c>
      <c r="F38" s="70"/>
    </row>
    <row r="39" spans="1:6">
      <c r="A39" s="61">
        <v>45680</v>
      </c>
      <c r="B39" s="62">
        <v>14.6225</v>
      </c>
      <c r="C39" s="57">
        <v>2613.04</v>
      </c>
      <c r="D39" s="63">
        <f t="shared" si="0"/>
        <v>-3.4442048386859901E-5</v>
      </c>
      <c r="E39" s="63">
        <f t="shared" si="1"/>
        <v>1.2310554264062155E-4</v>
      </c>
      <c r="F39" s="70"/>
    </row>
    <row r="40" spans="1:6">
      <c r="A40" s="58">
        <v>45681</v>
      </c>
      <c r="B40" s="59">
        <v>14.637600000000001</v>
      </c>
      <c r="C40" s="57">
        <v>2614.04</v>
      </c>
      <c r="D40" s="63">
        <f t="shared" si="0"/>
        <v>3.8262280745647896E-4</v>
      </c>
      <c r="E40" s="63">
        <f t="shared" si="1"/>
        <v>1.0321223331753869E-3</v>
      </c>
      <c r="F40" s="70"/>
    </row>
    <row r="41" spans="1:6">
      <c r="A41" s="61">
        <v>45684</v>
      </c>
      <c r="B41" s="62">
        <v>14.641</v>
      </c>
      <c r="C41" s="57">
        <v>2615.4899999999998</v>
      </c>
      <c r="D41" s="63">
        <f t="shared" si="0"/>
        <v>5.5454315671135408E-4</v>
      </c>
      <c r="E41" s="63">
        <f t="shared" si="1"/>
        <v>2.3225154312596607E-4</v>
      </c>
      <c r="F41" s="70"/>
    </row>
    <row r="42" spans="1:6">
      <c r="A42" s="58">
        <v>45685</v>
      </c>
      <c r="B42" s="59">
        <v>14.638500000000001</v>
      </c>
      <c r="C42" s="57">
        <v>2610.79</v>
      </c>
      <c r="D42" s="63">
        <f t="shared" si="0"/>
        <v>-1.7986029324990407E-3</v>
      </c>
      <c r="E42" s="63">
        <f t="shared" si="1"/>
        <v>-1.7076794385658249E-4</v>
      </c>
      <c r="F42" s="70"/>
    </row>
    <row r="43" spans="1:6">
      <c r="A43" s="61">
        <v>45686</v>
      </c>
      <c r="B43" s="62">
        <v>14.6471</v>
      </c>
      <c r="C43" s="57">
        <v>2614.9299999999998</v>
      </c>
      <c r="D43" s="63">
        <f t="shared" si="0"/>
        <v>1.584470988165878E-3</v>
      </c>
      <c r="E43" s="63">
        <f t="shared" si="1"/>
        <v>5.8731938203131467E-4</v>
      </c>
      <c r="F43" s="70"/>
    </row>
    <row r="44" spans="1:6">
      <c r="A44" s="58">
        <v>45687</v>
      </c>
      <c r="B44" s="59">
        <v>14.6418</v>
      </c>
      <c r="C44" s="57">
        <v>2615.08</v>
      </c>
      <c r="D44" s="63">
        <f t="shared" si="0"/>
        <v>5.7361267011331883E-5</v>
      </c>
      <c r="E44" s="63">
        <f t="shared" si="1"/>
        <v>-3.6191185451478318E-4</v>
      </c>
      <c r="F44" s="70"/>
    </row>
    <row r="45" spans="1:6">
      <c r="A45" s="61">
        <v>45688</v>
      </c>
      <c r="B45" s="62">
        <v>14.6554</v>
      </c>
      <c r="C45" s="57">
        <v>2616.36</v>
      </c>
      <c r="D45" s="63">
        <f t="shared" si="0"/>
        <v>4.8934902265632206E-4</v>
      </c>
      <c r="E45" s="63">
        <f t="shared" si="1"/>
        <v>9.2841643412231291E-4</v>
      </c>
      <c r="F45" s="70"/>
    </row>
    <row r="46" spans="1:6">
      <c r="A46" s="58">
        <v>45691</v>
      </c>
      <c r="B46" s="59">
        <v>14.66</v>
      </c>
      <c r="C46" s="57">
        <v>2626.31</v>
      </c>
      <c r="D46" s="63">
        <f t="shared" si="0"/>
        <v>3.7957803739649544E-3</v>
      </c>
      <c r="E46" s="63">
        <f t="shared" si="1"/>
        <v>3.1382822937809518E-4</v>
      </c>
      <c r="F46" s="70"/>
    </row>
    <row r="47" spans="1:6">
      <c r="A47" s="61">
        <v>45692</v>
      </c>
      <c r="B47" s="62">
        <v>14.6652</v>
      </c>
      <c r="C47" s="57">
        <v>2628.06</v>
      </c>
      <c r="D47" s="63">
        <f t="shared" si="0"/>
        <v>6.6611223218272558E-4</v>
      </c>
      <c r="E47" s="63">
        <f t="shared" si="1"/>
        <v>3.5464379131274675E-4</v>
      </c>
      <c r="F47" s="70"/>
    </row>
    <row r="48" spans="1:6">
      <c r="A48" s="58">
        <v>45693</v>
      </c>
      <c r="B48" s="59">
        <v>14.669700000000001</v>
      </c>
      <c r="C48" s="57">
        <v>2635.74</v>
      </c>
      <c r="D48" s="63">
        <f t="shared" si="0"/>
        <v>2.9180460692255629E-3</v>
      </c>
      <c r="E48" s="63">
        <f t="shared" si="1"/>
        <v>3.0680179821970761E-4</v>
      </c>
      <c r="F48" s="70"/>
    </row>
    <row r="49" spans="1:6">
      <c r="A49" s="61">
        <v>45694</v>
      </c>
      <c r="B49" s="62">
        <v>14.672000000000001</v>
      </c>
      <c r="C49" s="57">
        <v>2627.48</v>
      </c>
      <c r="D49" s="63">
        <f t="shared" si="0"/>
        <v>-3.1387655394814768E-3</v>
      </c>
      <c r="E49" s="63">
        <f t="shared" si="1"/>
        <v>1.5677346607118739E-4</v>
      </c>
      <c r="F49" s="70"/>
    </row>
    <row r="50" spans="1:6">
      <c r="A50" s="58">
        <v>45695</v>
      </c>
      <c r="B50" s="59">
        <v>14.6754</v>
      </c>
      <c r="C50" s="57">
        <v>2629.34</v>
      </c>
      <c r="D50" s="63">
        <f t="shared" si="0"/>
        <v>7.0765218425581397E-4</v>
      </c>
      <c r="E50" s="63">
        <f t="shared" si="1"/>
        <v>2.3170706878372085E-4</v>
      </c>
      <c r="F50" s="70"/>
    </row>
    <row r="51" spans="1:6">
      <c r="A51" s="61">
        <v>45698</v>
      </c>
      <c r="B51" s="62">
        <v>14.6799</v>
      </c>
      <c r="C51" s="57">
        <v>2631.64</v>
      </c>
      <c r="D51" s="63">
        <f t="shared" si="0"/>
        <v>8.7436186662206831E-4</v>
      </c>
      <c r="E51" s="63">
        <f t="shared" si="1"/>
        <v>3.0658859117427463E-4</v>
      </c>
      <c r="F51" s="70"/>
    </row>
    <row r="52" spans="1:6">
      <c r="A52" s="58">
        <v>45699</v>
      </c>
      <c r="B52" s="59">
        <v>14.682</v>
      </c>
      <c r="C52" s="57">
        <v>2629.31</v>
      </c>
      <c r="D52" s="63">
        <f t="shared" si="0"/>
        <v>-8.8577163909235395E-4</v>
      </c>
      <c r="E52" s="63">
        <f t="shared" si="1"/>
        <v>1.4304251452270964E-4</v>
      </c>
      <c r="F52" s="70"/>
    </row>
    <row r="53" spans="1:6">
      <c r="A53" s="61">
        <v>45700</v>
      </c>
      <c r="B53" s="62">
        <v>14.6844</v>
      </c>
      <c r="C53" s="57">
        <v>2627.08</v>
      </c>
      <c r="D53" s="63">
        <f t="shared" si="0"/>
        <v>-8.4849112557799943E-4</v>
      </c>
      <c r="E53" s="63">
        <f t="shared" si="1"/>
        <v>1.6345210889610388E-4</v>
      </c>
      <c r="F53" s="70"/>
    </row>
    <row r="54" spans="1:6">
      <c r="A54" s="58">
        <v>45701</v>
      </c>
      <c r="B54" s="59">
        <v>14.689500000000001</v>
      </c>
      <c r="C54" s="57">
        <v>2630.01</v>
      </c>
      <c r="D54" s="63">
        <f t="shared" si="0"/>
        <v>1.1146852358939504E-3</v>
      </c>
      <c r="E54" s="63">
        <f t="shared" si="1"/>
        <v>3.4724704933606563E-4</v>
      </c>
      <c r="F54" s="70"/>
    </row>
    <row r="55" spans="1:6">
      <c r="A55" s="61">
        <v>45702</v>
      </c>
      <c r="B55" s="62">
        <v>14.694000000000001</v>
      </c>
      <c r="C55" s="57">
        <v>2631.71</v>
      </c>
      <c r="D55" s="63">
        <f t="shared" si="0"/>
        <v>6.461765579133976E-4</v>
      </c>
      <c r="E55" s="63">
        <f t="shared" si="1"/>
        <v>3.0629435126399205E-4</v>
      </c>
      <c r="F55" s="70"/>
    </row>
    <row r="56" spans="1:6">
      <c r="A56" s="58">
        <v>45705</v>
      </c>
      <c r="B56" s="59">
        <v>14.693099999999999</v>
      </c>
      <c r="C56" s="57">
        <v>2631.26</v>
      </c>
      <c r="D56" s="63">
        <f t="shared" si="0"/>
        <v>-1.7100610533457E-4</v>
      </c>
      <c r="E56" s="63">
        <f t="shared" si="1"/>
        <v>-6.1251365414217033E-5</v>
      </c>
      <c r="F56" s="70"/>
    </row>
    <row r="57" spans="1:6">
      <c r="A57" s="61">
        <v>45706</v>
      </c>
      <c r="B57" s="62">
        <v>14.707700000000001</v>
      </c>
      <c r="C57" s="57">
        <v>2633.07</v>
      </c>
      <c r="D57" s="63">
        <f t="shared" si="0"/>
        <v>6.8764688814057376E-4</v>
      </c>
      <c r="E57" s="63">
        <f t="shared" si="1"/>
        <v>9.9317033550834271E-4</v>
      </c>
      <c r="F57" s="70"/>
    </row>
    <row r="58" spans="1:6">
      <c r="A58" s="58">
        <v>45707</v>
      </c>
      <c r="B58" s="59">
        <v>14.7073</v>
      </c>
      <c r="C58" s="57">
        <v>2636.44</v>
      </c>
      <c r="D58" s="63">
        <f t="shared" si="0"/>
        <v>1.2790564813195198E-3</v>
      </c>
      <c r="E58" s="63">
        <f t="shared" si="1"/>
        <v>-2.7197008330764075E-5</v>
      </c>
      <c r="F58" s="70"/>
    </row>
    <row r="59" spans="1:6">
      <c r="A59" s="61">
        <v>45708</v>
      </c>
      <c r="B59" s="62">
        <v>14.71</v>
      </c>
      <c r="C59" s="57">
        <v>2637.31</v>
      </c>
      <c r="D59" s="63">
        <f t="shared" si="0"/>
        <v>3.2993600678525055E-4</v>
      </c>
      <c r="E59" s="63">
        <f t="shared" si="1"/>
        <v>1.8356545349731168E-4</v>
      </c>
      <c r="F59" s="70"/>
    </row>
    <row r="60" spans="1:6">
      <c r="A60" s="58">
        <v>45709</v>
      </c>
      <c r="B60" s="59">
        <v>14.716799999999999</v>
      </c>
      <c r="C60" s="57">
        <v>2635.65</v>
      </c>
      <c r="D60" s="63">
        <f t="shared" si="0"/>
        <v>-6.2962740276408164E-4</v>
      </c>
      <c r="E60" s="63">
        <f t="shared" si="1"/>
        <v>4.6216375012132814E-4</v>
      </c>
      <c r="F60" s="70"/>
    </row>
    <row r="61" spans="1:6">
      <c r="A61" s="61">
        <v>45712</v>
      </c>
      <c r="B61" s="62">
        <v>14.7097</v>
      </c>
      <c r="C61" s="57">
        <v>2635.79</v>
      </c>
      <c r="D61" s="63">
        <f t="shared" si="0"/>
        <v>5.3116416020213149E-5</v>
      </c>
      <c r="E61" s="63">
        <f t="shared" si="1"/>
        <v>-4.8255824768671593E-4</v>
      </c>
      <c r="F61" s="70"/>
    </row>
    <row r="62" spans="1:6">
      <c r="A62" s="58">
        <v>45713</v>
      </c>
      <c r="B62" s="59">
        <v>14.7151</v>
      </c>
      <c r="C62" s="57">
        <v>2629.28</v>
      </c>
      <c r="D62" s="63">
        <f t="shared" si="0"/>
        <v>-2.4729028550510689E-3</v>
      </c>
      <c r="E62" s="63">
        <f t="shared" si="1"/>
        <v>3.6703733317614863E-4</v>
      </c>
      <c r="F62" s="70"/>
    </row>
    <row r="63" spans="1:6">
      <c r="A63" s="61">
        <v>45715</v>
      </c>
      <c r="B63" s="62">
        <v>14.726900000000001</v>
      </c>
      <c r="C63" s="57">
        <v>2632.5</v>
      </c>
      <c r="D63" s="63">
        <f t="shared" si="0"/>
        <v>1.2239205751507882E-3</v>
      </c>
      <c r="E63" s="63">
        <f t="shared" si="1"/>
        <v>8.0157602281196708E-4</v>
      </c>
      <c r="F63" s="70"/>
    </row>
    <row r="64" spans="1:6">
      <c r="A64" s="58">
        <v>45716</v>
      </c>
      <c r="B64" s="59">
        <v>14.726800000000001</v>
      </c>
      <c r="C64" s="57">
        <v>2635.6</v>
      </c>
      <c r="D64" s="63">
        <f t="shared" si="0"/>
        <v>1.1768950315341187E-3</v>
      </c>
      <c r="E64" s="63">
        <f t="shared" si="1"/>
        <v>-6.7903183640814839E-6</v>
      </c>
      <c r="F64" s="70"/>
    </row>
    <row r="65" spans="1:6">
      <c r="A65" s="61">
        <v>45719</v>
      </c>
      <c r="B65" s="62">
        <v>14.7311</v>
      </c>
      <c r="C65" s="57">
        <v>2634.72</v>
      </c>
      <c r="D65" s="63">
        <f t="shared" si="0"/>
        <v>-3.3394556997607821E-4</v>
      </c>
      <c r="E65" s="63">
        <f t="shared" si="1"/>
        <v>2.9194206175861667E-4</v>
      </c>
      <c r="F65" s="70"/>
    </row>
    <row r="66" spans="1:6">
      <c r="A66" s="58">
        <v>45720</v>
      </c>
      <c r="B66" s="59">
        <v>14.735900000000001</v>
      </c>
      <c r="C66" s="57">
        <v>2636.89</v>
      </c>
      <c r="D66" s="63">
        <f t="shared" si="0"/>
        <v>8.2327794452409053E-4</v>
      </c>
      <c r="E66" s="63">
        <f t="shared" si="1"/>
        <v>3.2578817269867446E-4</v>
      </c>
      <c r="F66" s="70"/>
    </row>
    <row r="67" spans="1:6">
      <c r="A67" s="61">
        <v>45721</v>
      </c>
      <c r="B67" s="62">
        <v>14.736000000000001</v>
      </c>
      <c r="C67" s="57">
        <v>2643.53</v>
      </c>
      <c r="D67" s="63">
        <f t="shared" si="0"/>
        <v>2.5149527877806606E-3</v>
      </c>
      <c r="E67" s="63">
        <f t="shared" si="1"/>
        <v>6.7861250887580772E-6</v>
      </c>
      <c r="F67" s="70"/>
    </row>
    <row r="68" spans="1:6">
      <c r="A68" s="58">
        <v>45722</v>
      </c>
      <c r="B68" s="59">
        <v>14.7461</v>
      </c>
      <c r="C68" s="57">
        <v>2645.21</v>
      </c>
      <c r="D68" s="63">
        <f t="shared" ref="D68:D131" si="2">LN(C68/C67)</f>
        <v>6.353120238493631E-4</v>
      </c>
      <c r="E68" s="63">
        <f t="shared" ref="E68:E131" si="3">LN(B68/B67)</f>
        <v>6.85161531581274E-4</v>
      </c>
      <c r="F68" s="70"/>
    </row>
    <row r="69" spans="1:6">
      <c r="A69" s="61">
        <v>45723</v>
      </c>
      <c r="B69" s="62">
        <v>14.7479</v>
      </c>
      <c r="C69" s="57">
        <v>2650.47</v>
      </c>
      <c r="D69" s="63">
        <f t="shared" si="2"/>
        <v>1.9865255188331677E-3</v>
      </c>
      <c r="E69" s="63">
        <f t="shared" si="3"/>
        <v>1.2205872395977897E-4</v>
      </c>
      <c r="F69" s="70"/>
    </row>
    <row r="70" spans="1:6">
      <c r="A70" s="58">
        <v>45726</v>
      </c>
      <c r="B70" s="59">
        <v>14.767099999999999</v>
      </c>
      <c r="C70" s="57">
        <v>2646.17</v>
      </c>
      <c r="D70" s="63">
        <f t="shared" si="2"/>
        <v>-1.6236712121936348E-3</v>
      </c>
      <c r="E70" s="63">
        <f t="shared" si="3"/>
        <v>1.3010335563816277E-3</v>
      </c>
      <c r="F70" s="70"/>
    </row>
    <row r="71" spans="1:6">
      <c r="A71" s="61">
        <v>45727</v>
      </c>
      <c r="B71" s="62">
        <v>14.7562</v>
      </c>
      <c r="C71" s="57">
        <v>2650.75</v>
      </c>
      <c r="D71" s="63">
        <f t="shared" si="2"/>
        <v>1.7293072734250574E-3</v>
      </c>
      <c r="E71" s="63">
        <f t="shared" si="3"/>
        <v>-7.3839987367630647E-4</v>
      </c>
      <c r="F71" s="70"/>
    </row>
    <row r="72" spans="1:6">
      <c r="A72" s="58">
        <v>45728</v>
      </c>
      <c r="B72" s="59">
        <v>14.760999999999999</v>
      </c>
      <c r="C72" s="57">
        <v>2646.09</v>
      </c>
      <c r="D72" s="63">
        <f t="shared" si="2"/>
        <v>-1.7595401040139411E-3</v>
      </c>
      <c r="E72" s="63">
        <f t="shared" si="3"/>
        <v>3.2523410366220478E-4</v>
      </c>
      <c r="F72" s="70"/>
    </row>
    <row r="73" spans="1:6">
      <c r="A73" s="61">
        <v>45729</v>
      </c>
      <c r="B73" s="62">
        <v>14.7758</v>
      </c>
      <c r="C73" s="57">
        <v>2649.89</v>
      </c>
      <c r="D73" s="63">
        <f t="shared" si="2"/>
        <v>1.4350509828714186E-3</v>
      </c>
      <c r="E73" s="63">
        <f t="shared" si="3"/>
        <v>1.002139787561169E-3</v>
      </c>
      <c r="F73" s="70"/>
    </row>
    <row r="74" spans="1:6">
      <c r="A74" s="58">
        <v>45733</v>
      </c>
      <c r="B74" s="59">
        <v>14.765700000000001</v>
      </c>
      <c r="C74" s="57">
        <v>2650.68</v>
      </c>
      <c r="D74" s="63">
        <f t="shared" si="2"/>
        <v>2.9808115197025057E-4</v>
      </c>
      <c r="E74" s="63">
        <f t="shared" si="3"/>
        <v>-6.8378385617040279E-4</v>
      </c>
      <c r="F74" s="70"/>
    </row>
    <row r="75" spans="1:6">
      <c r="A75" s="61">
        <v>45734</v>
      </c>
      <c r="B75" s="62">
        <v>14.7684</v>
      </c>
      <c r="C75" s="57">
        <v>2651.36</v>
      </c>
      <c r="D75" s="63">
        <f t="shared" si="2"/>
        <v>2.5650504474841713E-4</v>
      </c>
      <c r="E75" s="63">
        <f t="shared" si="3"/>
        <v>1.8283949790378094E-4</v>
      </c>
      <c r="F75" s="70"/>
    </row>
    <row r="76" spans="1:6">
      <c r="A76" s="58">
        <v>45735</v>
      </c>
      <c r="B76" s="59">
        <v>14.7788</v>
      </c>
      <c r="C76" s="57">
        <v>2652.91</v>
      </c>
      <c r="D76" s="63">
        <f t="shared" si="2"/>
        <v>5.8443482104733233E-4</v>
      </c>
      <c r="E76" s="63">
        <f t="shared" si="3"/>
        <v>7.0395844137403256E-4</v>
      </c>
      <c r="F76" s="70"/>
    </row>
    <row r="77" spans="1:6">
      <c r="A77" s="61">
        <v>45736</v>
      </c>
      <c r="B77" s="62">
        <v>14.788500000000001</v>
      </c>
      <c r="C77" s="57">
        <v>2651.54</v>
      </c>
      <c r="D77" s="63">
        <f t="shared" si="2"/>
        <v>-5.1654743864563773E-4</v>
      </c>
      <c r="E77" s="63">
        <f t="shared" si="3"/>
        <v>6.5613027554043747E-4</v>
      </c>
      <c r="F77" s="70"/>
    </row>
    <row r="78" spans="1:6">
      <c r="A78" s="58">
        <v>45737</v>
      </c>
      <c r="B78" s="59">
        <v>14.7902</v>
      </c>
      <c r="C78" s="57">
        <v>2654.34</v>
      </c>
      <c r="D78" s="63">
        <f t="shared" si="2"/>
        <v>1.0554329385207561E-3</v>
      </c>
      <c r="E78" s="63">
        <f t="shared" si="3"/>
        <v>1.149475806489939E-4</v>
      </c>
      <c r="F78" s="70"/>
    </row>
    <row r="79" spans="1:6">
      <c r="A79" s="61">
        <v>45740</v>
      </c>
      <c r="B79" s="62">
        <v>14.7997</v>
      </c>
      <c r="C79" s="57">
        <v>2654.87</v>
      </c>
      <c r="D79" s="63">
        <f t="shared" si="2"/>
        <v>1.9965305639069701E-4</v>
      </c>
      <c r="E79" s="63">
        <f t="shared" si="3"/>
        <v>6.4211101263669671E-4</v>
      </c>
      <c r="F79" s="70"/>
    </row>
    <row r="80" spans="1:6">
      <c r="A80" s="58">
        <v>45741</v>
      </c>
      <c r="B80" s="59">
        <v>14.7996</v>
      </c>
      <c r="C80" s="57">
        <v>2663.57</v>
      </c>
      <c r="D80" s="63">
        <f t="shared" si="2"/>
        <v>3.2716389618476019E-3</v>
      </c>
      <c r="E80" s="63">
        <f t="shared" si="3"/>
        <v>-6.7569165486699225E-6</v>
      </c>
      <c r="F80" s="70"/>
    </row>
    <row r="81" spans="1:6">
      <c r="A81" s="61">
        <v>45742</v>
      </c>
      <c r="B81" s="62">
        <v>14.8012</v>
      </c>
      <c r="C81" s="57">
        <v>2650.92</v>
      </c>
      <c r="D81" s="63">
        <f t="shared" si="2"/>
        <v>-4.7605786785507136E-3</v>
      </c>
      <c r="E81" s="63">
        <f t="shared" si="3"/>
        <v>1.081051864515948E-4</v>
      </c>
      <c r="F81" s="70"/>
    </row>
    <row r="82" spans="1:6">
      <c r="A82" s="58">
        <v>45743</v>
      </c>
      <c r="B82" s="59">
        <v>14.8071</v>
      </c>
      <c r="C82" s="57">
        <v>2650.42</v>
      </c>
      <c r="D82" s="63">
        <f t="shared" si="2"/>
        <v>-1.8863155409104234E-4</v>
      </c>
      <c r="E82" s="63">
        <f t="shared" si="3"/>
        <v>3.9853690202353042E-4</v>
      </c>
      <c r="F82" s="70"/>
    </row>
    <row r="83" spans="1:6">
      <c r="A83" s="61">
        <v>45744</v>
      </c>
      <c r="B83" s="62">
        <v>14.838100000000001</v>
      </c>
      <c r="C83" s="57">
        <v>2653.34</v>
      </c>
      <c r="D83" s="63">
        <f t="shared" si="2"/>
        <v>1.1011057419738502E-3</v>
      </c>
      <c r="E83" s="63">
        <f t="shared" si="3"/>
        <v>2.0914017310997299E-3</v>
      </c>
      <c r="F83" s="70"/>
    </row>
    <row r="84" spans="1:6">
      <c r="A84" s="58">
        <v>45747</v>
      </c>
      <c r="B84" s="59">
        <v>14.8406</v>
      </c>
      <c r="C84" s="57">
        <v>2658.17</v>
      </c>
      <c r="D84" s="63">
        <f t="shared" si="2"/>
        <v>1.8186923610520312E-3</v>
      </c>
      <c r="E84" s="63">
        <f t="shared" si="3"/>
        <v>1.6847099137850863E-4</v>
      </c>
      <c r="F84" s="70"/>
    </row>
    <row r="85" spans="1:6">
      <c r="A85" s="61">
        <v>45748</v>
      </c>
      <c r="B85" s="62">
        <v>14.835000000000001</v>
      </c>
      <c r="C85" s="57">
        <v>2651.99</v>
      </c>
      <c r="D85" s="63">
        <f t="shared" si="2"/>
        <v>-2.3276145314497353E-3</v>
      </c>
      <c r="E85" s="63">
        <f t="shared" si="3"/>
        <v>-3.774144459739274E-4</v>
      </c>
      <c r="F85" s="70"/>
    </row>
    <row r="86" spans="1:6">
      <c r="A86" s="58">
        <v>45749</v>
      </c>
      <c r="B86" s="59">
        <v>14.852</v>
      </c>
      <c r="C86" s="57">
        <v>2663.22</v>
      </c>
      <c r="D86" s="63">
        <f t="shared" si="2"/>
        <v>4.2256154357296098E-3</v>
      </c>
      <c r="E86" s="63">
        <f t="shared" si="3"/>
        <v>1.1452825720485371E-3</v>
      </c>
      <c r="F86" s="70"/>
    </row>
    <row r="87" spans="1:6">
      <c r="A87" s="61">
        <v>45750</v>
      </c>
      <c r="B87" s="62">
        <v>14.8634</v>
      </c>
      <c r="C87" s="57">
        <v>2664.66</v>
      </c>
      <c r="D87" s="63">
        <f t="shared" si="2"/>
        <v>5.4055272831363512E-4</v>
      </c>
      <c r="E87" s="63">
        <f t="shared" si="3"/>
        <v>7.6727895699064258E-4</v>
      </c>
      <c r="F87" s="70"/>
    </row>
    <row r="88" spans="1:6">
      <c r="A88" s="58">
        <v>45751</v>
      </c>
      <c r="B88" s="59">
        <v>14.8767</v>
      </c>
      <c r="C88" s="57">
        <v>2664.44</v>
      </c>
      <c r="D88" s="63">
        <f t="shared" si="2"/>
        <v>-8.2565536441381204E-5</v>
      </c>
      <c r="E88" s="63">
        <f t="shared" si="3"/>
        <v>8.9441534404013511E-4</v>
      </c>
      <c r="F88" s="70"/>
    </row>
    <row r="89" spans="1:6">
      <c r="A89" s="61">
        <v>45754</v>
      </c>
      <c r="B89" s="62">
        <v>14.8703</v>
      </c>
      <c r="C89" s="57">
        <v>2662.28</v>
      </c>
      <c r="D89" s="63">
        <f t="shared" si="2"/>
        <v>-8.1100569145416547E-4</v>
      </c>
      <c r="E89" s="63">
        <f t="shared" si="3"/>
        <v>-4.3029549862155992E-4</v>
      </c>
      <c r="F89" s="70"/>
    </row>
    <row r="90" spans="1:6">
      <c r="A90" s="58">
        <v>45755</v>
      </c>
      <c r="B90" s="59">
        <v>14.8711</v>
      </c>
      <c r="C90" s="57">
        <v>2659.5</v>
      </c>
      <c r="D90" s="63">
        <f t="shared" si="2"/>
        <v>-1.0447633133543693E-3</v>
      </c>
      <c r="E90" s="63">
        <f t="shared" si="3"/>
        <v>5.3797064038191572E-5</v>
      </c>
      <c r="F90" s="70"/>
    </row>
    <row r="91" spans="1:6">
      <c r="A91" s="61">
        <v>45756</v>
      </c>
      <c r="B91" s="62">
        <v>14.881399999999999</v>
      </c>
      <c r="C91" s="57">
        <v>2664.23</v>
      </c>
      <c r="D91" s="63">
        <f t="shared" si="2"/>
        <v>1.7769500874768851E-3</v>
      </c>
      <c r="E91" s="63">
        <f t="shared" si="3"/>
        <v>6.9237881935795768E-4</v>
      </c>
      <c r="F91" s="70"/>
    </row>
    <row r="92" spans="1:6">
      <c r="A92" s="58">
        <v>45758</v>
      </c>
      <c r="B92" s="59">
        <v>14.8847</v>
      </c>
      <c r="C92" s="57">
        <v>2664.13</v>
      </c>
      <c r="D92" s="63">
        <f t="shared" si="2"/>
        <v>-3.7535001393199316E-5</v>
      </c>
      <c r="E92" s="63">
        <f t="shared" si="3"/>
        <v>2.2172874602467325E-4</v>
      </c>
      <c r="F92" s="70"/>
    </row>
    <row r="93" spans="1:6">
      <c r="A93" s="61">
        <v>45762</v>
      </c>
      <c r="B93" s="62">
        <v>14.8993</v>
      </c>
      <c r="C93" s="57">
        <v>2672.56</v>
      </c>
      <c r="D93" s="63">
        <f t="shared" si="2"/>
        <v>3.1592642674079206E-3</v>
      </c>
      <c r="E93" s="63">
        <f t="shared" si="3"/>
        <v>9.8039223538950895E-4</v>
      </c>
      <c r="F93" s="70"/>
    </row>
    <row r="94" spans="1:6">
      <c r="A94" s="58">
        <v>45763</v>
      </c>
      <c r="B94" s="59">
        <v>14.9079</v>
      </c>
      <c r="C94" s="57">
        <v>2674.95</v>
      </c>
      <c r="D94" s="63">
        <f t="shared" si="2"/>
        <v>8.9387403076811095E-4</v>
      </c>
      <c r="E94" s="63">
        <f t="shared" si="3"/>
        <v>5.7704180457297967E-4</v>
      </c>
      <c r="F94" s="70"/>
    </row>
    <row r="95" spans="1:6">
      <c r="A95" s="61">
        <v>45764</v>
      </c>
      <c r="B95" s="62">
        <v>14.916</v>
      </c>
      <c r="C95" s="57">
        <v>2675.63</v>
      </c>
      <c r="D95" s="63">
        <f t="shared" si="2"/>
        <v>2.5417805309370167E-4</v>
      </c>
      <c r="E95" s="63">
        <f t="shared" si="3"/>
        <v>5.4318852994837013E-4</v>
      </c>
      <c r="F95" s="70"/>
    </row>
    <row r="96" spans="1:6">
      <c r="A96" s="58">
        <v>45768</v>
      </c>
      <c r="B96" s="59">
        <v>14.918200000000001</v>
      </c>
      <c r="C96" s="57">
        <v>2674.3</v>
      </c>
      <c r="D96" s="63">
        <f t="shared" si="2"/>
        <v>-4.9720277738175183E-4</v>
      </c>
      <c r="E96" s="63">
        <f t="shared" si="3"/>
        <v>1.4748174940097357E-4</v>
      </c>
      <c r="F96" s="70"/>
    </row>
    <row r="97" spans="1:6">
      <c r="A97" s="61">
        <v>45769</v>
      </c>
      <c r="B97" s="62">
        <v>14.9259</v>
      </c>
      <c r="C97" s="57">
        <v>2675.54</v>
      </c>
      <c r="D97" s="63">
        <f t="shared" si="2"/>
        <v>4.6356527380455432E-4</v>
      </c>
      <c r="E97" s="63">
        <f t="shared" si="3"/>
        <v>5.1601490216547641E-4</v>
      </c>
      <c r="F97" s="70"/>
    </row>
    <row r="98" spans="1:6">
      <c r="A98" s="58">
        <v>45770</v>
      </c>
      <c r="B98" s="59">
        <v>14.923999999999999</v>
      </c>
      <c r="C98" s="57">
        <v>2675.49</v>
      </c>
      <c r="D98" s="63">
        <f t="shared" si="2"/>
        <v>-1.8687990910743917E-5</v>
      </c>
      <c r="E98" s="63">
        <f t="shared" si="3"/>
        <v>-1.2730360922934842E-4</v>
      </c>
      <c r="F98" s="70"/>
    </row>
    <row r="99" spans="1:6">
      <c r="A99" s="61">
        <v>45771</v>
      </c>
      <c r="B99" s="62">
        <v>14.9277</v>
      </c>
      <c r="C99" s="57">
        <v>2675.24</v>
      </c>
      <c r="D99" s="63">
        <f t="shared" si="2"/>
        <v>-9.3445193527600992E-5</v>
      </c>
      <c r="E99" s="63">
        <f t="shared" si="3"/>
        <v>2.4789208111756947E-4</v>
      </c>
      <c r="F99" s="70"/>
    </row>
    <row r="100" spans="1:6">
      <c r="A100" s="58">
        <v>45772</v>
      </c>
      <c r="B100" s="59">
        <v>14.9475</v>
      </c>
      <c r="C100" s="57">
        <v>2679.34</v>
      </c>
      <c r="D100" s="63">
        <f t="shared" si="2"/>
        <v>1.5313995873706715E-3</v>
      </c>
      <c r="E100" s="63">
        <f t="shared" si="3"/>
        <v>1.3255143328936199E-3</v>
      </c>
      <c r="F100" s="70"/>
    </row>
    <row r="101" spans="1:6">
      <c r="A101" s="61">
        <v>45775</v>
      </c>
      <c r="B101" s="62">
        <v>14.931900000000001</v>
      </c>
      <c r="C101" s="57">
        <v>2683.38</v>
      </c>
      <c r="D101" s="63">
        <f t="shared" si="2"/>
        <v>1.5066983785393634E-3</v>
      </c>
      <c r="E101" s="63">
        <f t="shared" si="3"/>
        <v>-1.0441977695304163E-3</v>
      </c>
      <c r="F101" s="70"/>
    </row>
    <row r="102" spans="1:6">
      <c r="A102" s="58">
        <v>45776</v>
      </c>
      <c r="B102" s="59">
        <v>14.945499999999999</v>
      </c>
      <c r="C102" s="57">
        <v>2686.87</v>
      </c>
      <c r="D102" s="63">
        <f t="shared" si="2"/>
        <v>1.2997534533110515E-3</v>
      </c>
      <c r="E102" s="63">
        <f t="shared" si="3"/>
        <v>9.1038717822235779E-4</v>
      </c>
      <c r="F102" s="70"/>
    </row>
    <row r="103" spans="1:6">
      <c r="A103" s="61">
        <v>45777</v>
      </c>
      <c r="B103" s="62">
        <v>14.949299999999999</v>
      </c>
      <c r="C103" s="57">
        <v>2687.14</v>
      </c>
      <c r="D103" s="63">
        <f t="shared" si="2"/>
        <v>1.0048362404495931E-4</v>
      </c>
      <c r="E103" s="63">
        <f t="shared" si="3"/>
        <v>2.5422481638728839E-4</v>
      </c>
      <c r="F103" s="70"/>
    </row>
    <row r="104" spans="1:6">
      <c r="A104" s="58">
        <v>45779</v>
      </c>
      <c r="B104" s="59">
        <v>14.957000000000001</v>
      </c>
      <c r="C104" s="57">
        <v>2688.1</v>
      </c>
      <c r="D104" s="63">
        <f t="shared" si="2"/>
        <v>3.5719335702488254E-4</v>
      </c>
      <c r="E104" s="63">
        <f t="shared" si="3"/>
        <v>5.1494167918783769E-4</v>
      </c>
      <c r="F104" s="70"/>
    </row>
    <row r="105" spans="1:6">
      <c r="A105" s="61">
        <v>45782</v>
      </c>
      <c r="B105" s="62">
        <v>14.952199999999999</v>
      </c>
      <c r="C105" s="57">
        <v>2684.36</v>
      </c>
      <c r="D105" s="63">
        <f t="shared" si="2"/>
        <v>-1.3922860678919303E-3</v>
      </c>
      <c r="E105" s="63">
        <f t="shared" si="3"/>
        <v>-3.2097147641592177E-4</v>
      </c>
      <c r="F105" s="70"/>
    </row>
    <row r="106" spans="1:6">
      <c r="A106" s="58">
        <v>45783</v>
      </c>
      <c r="B106" s="59">
        <v>14.9655</v>
      </c>
      <c r="C106" s="57">
        <v>2691.18</v>
      </c>
      <c r="D106" s="63">
        <f t="shared" si="2"/>
        <v>2.5374208578920069E-3</v>
      </c>
      <c r="E106" s="63">
        <f t="shared" si="3"/>
        <v>8.8910583876097675E-4</v>
      </c>
      <c r="F106" s="70"/>
    </row>
    <row r="107" spans="1:6">
      <c r="A107" s="61">
        <v>45784</v>
      </c>
      <c r="B107" s="62">
        <v>14.961499999999999</v>
      </c>
      <c r="C107" s="57">
        <v>2692.24</v>
      </c>
      <c r="D107" s="63">
        <f t="shared" si="2"/>
        <v>3.9380171478294414E-4</v>
      </c>
      <c r="E107" s="63">
        <f t="shared" si="3"/>
        <v>-2.6731713996193396E-4</v>
      </c>
      <c r="F107" s="70"/>
    </row>
    <row r="108" spans="1:6">
      <c r="A108" s="58">
        <v>45785</v>
      </c>
      <c r="B108" s="59">
        <v>14.9785</v>
      </c>
      <c r="C108" s="57">
        <v>2694.69</v>
      </c>
      <c r="D108" s="63">
        <f t="shared" si="2"/>
        <v>9.0960906079176661E-4</v>
      </c>
      <c r="E108" s="63">
        <f t="shared" si="3"/>
        <v>1.1356046644576715E-3</v>
      </c>
      <c r="F108" s="70"/>
    </row>
    <row r="109" spans="1:6">
      <c r="A109" s="61">
        <v>45786</v>
      </c>
      <c r="B109" s="62">
        <v>14.9672</v>
      </c>
      <c r="C109" s="57">
        <v>2689.46</v>
      </c>
      <c r="D109" s="63">
        <f t="shared" si="2"/>
        <v>-1.9427399477870116E-3</v>
      </c>
      <c r="E109" s="63">
        <f t="shared" si="3"/>
        <v>-7.5469937495841171E-4</v>
      </c>
      <c r="F109" s="70"/>
    </row>
    <row r="110" spans="1:6">
      <c r="A110" s="58">
        <v>45789</v>
      </c>
      <c r="B110" s="59">
        <v>14.9468</v>
      </c>
      <c r="C110" s="57">
        <v>2685.23</v>
      </c>
      <c r="D110" s="63">
        <f t="shared" si="2"/>
        <v>-1.5740445954500245E-3</v>
      </c>
      <c r="E110" s="63">
        <f t="shared" si="3"/>
        <v>-1.3639100864095163E-3</v>
      </c>
      <c r="F110" s="70"/>
    </row>
    <row r="111" spans="1:6">
      <c r="A111" s="61">
        <v>45790</v>
      </c>
      <c r="B111" s="62">
        <v>14.970700000000001</v>
      </c>
      <c r="C111" s="57">
        <v>2687.48</v>
      </c>
      <c r="D111" s="63">
        <f t="shared" si="2"/>
        <v>8.3756619342365739E-4</v>
      </c>
      <c r="E111" s="63">
        <f t="shared" si="3"/>
        <v>1.5977274226919263E-3</v>
      </c>
      <c r="F111" s="70"/>
    </row>
    <row r="112" spans="1:6">
      <c r="A112" s="58">
        <v>45791</v>
      </c>
      <c r="B112" s="59">
        <v>14.973000000000001</v>
      </c>
      <c r="C112" s="57">
        <v>2687.81</v>
      </c>
      <c r="D112" s="63">
        <f t="shared" si="2"/>
        <v>1.22784073199489E-4</v>
      </c>
      <c r="E112" s="63">
        <f t="shared" si="3"/>
        <v>1.5362163022756382E-4</v>
      </c>
      <c r="F112" s="70"/>
    </row>
    <row r="113" spans="1:6">
      <c r="A113" s="61">
        <v>45792</v>
      </c>
      <c r="B113" s="62">
        <v>14.9765</v>
      </c>
      <c r="C113" s="57">
        <v>2694.36</v>
      </c>
      <c r="D113" s="63">
        <f t="shared" si="2"/>
        <v>2.4339637111479039E-3</v>
      </c>
      <c r="E113" s="63">
        <f t="shared" si="3"/>
        <v>2.3372677446579297E-4</v>
      </c>
      <c r="F113" s="70"/>
    </row>
    <row r="114" spans="1:6">
      <c r="A114" s="58">
        <v>45793</v>
      </c>
      <c r="B114" s="59">
        <v>14.9755</v>
      </c>
      <c r="C114" s="57">
        <v>2689.1</v>
      </c>
      <c r="D114" s="63">
        <f t="shared" si="2"/>
        <v>-1.954134208794154E-3</v>
      </c>
      <c r="E114" s="63">
        <f t="shared" si="3"/>
        <v>-6.6773504298253187E-5</v>
      </c>
      <c r="F114" s="70"/>
    </row>
    <row r="115" spans="1:6">
      <c r="A115" s="61">
        <v>45796</v>
      </c>
      <c r="B115" s="62">
        <v>14.9903</v>
      </c>
      <c r="C115" s="57">
        <v>2692.9</v>
      </c>
      <c r="D115" s="63">
        <f t="shared" si="2"/>
        <v>1.4121146902472124E-3</v>
      </c>
      <c r="E115" s="63">
        <f t="shared" si="3"/>
        <v>9.8779283072063782E-4</v>
      </c>
      <c r="F115" s="70"/>
    </row>
    <row r="116" spans="1:6">
      <c r="A116" s="58">
        <v>45797</v>
      </c>
      <c r="B116" s="59">
        <v>14.982699999999999</v>
      </c>
      <c r="C116" s="57">
        <v>2685.65</v>
      </c>
      <c r="D116" s="63">
        <f t="shared" si="2"/>
        <v>-2.6958955075228872E-3</v>
      </c>
      <c r="E116" s="63">
        <f t="shared" si="3"/>
        <v>-5.0712308830460772E-4</v>
      </c>
      <c r="F116" s="70"/>
    </row>
    <row r="117" spans="1:6">
      <c r="A117" s="61">
        <v>45798</v>
      </c>
      <c r="B117" s="62">
        <v>14.9984</v>
      </c>
      <c r="C117" s="57">
        <v>2693.95</v>
      </c>
      <c r="D117" s="63">
        <f t="shared" si="2"/>
        <v>3.0857337295997749E-3</v>
      </c>
      <c r="E117" s="63">
        <f t="shared" si="3"/>
        <v>1.0473265780842679E-3</v>
      </c>
      <c r="F117" s="70"/>
    </row>
    <row r="118" spans="1:6">
      <c r="A118" s="58">
        <v>45799</v>
      </c>
      <c r="B118" s="59">
        <v>14.9946</v>
      </c>
      <c r="C118" s="57">
        <v>2691.67</v>
      </c>
      <c r="D118" s="63">
        <f t="shared" si="2"/>
        <v>-8.4669922356592014E-4</v>
      </c>
      <c r="E118" s="63">
        <f t="shared" si="3"/>
        <v>-2.5339245959609503E-4</v>
      </c>
      <c r="F118" s="70"/>
    </row>
    <row r="119" spans="1:6">
      <c r="A119" s="61">
        <v>45800</v>
      </c>
      <c r="B119" s="62">
        <v>15.0038</v>
      </c>
      <c r="C119" s="57">
        <v>2693.77</v>
      </c>
      <c r="D119" s="63">
        <f t="shared" si="2"/>
        <v>7.7988060638955244E-4</v>
      </c>
      <c r="E119" s="63">
        <f t="shared" si="3"/>
        <v>6.1336606541914412E-4</v>
      </c>
      <c r="F119" s="70"/>
    </row>
    <row r="120" spans="1:6">
      <c r="A120" s="58">
        <v>45803</v>
      </c>
      <c r="B120" s="59">
        <v>15.0044</v>
      </c>
      <c r="C120" s="57">
        <v>2695.11</v>
      </c>
      <c r="D120" s="63">
        <f t="shared" si="2"/>
        <v>4.9732041820127969E-4</v>
      </c>
      <c r="E120" s="63">
        <f t="shared" si="3"/>
        <v>3.9989069659643802E-5</v>
      </c>
      <c r="F120" s="70"/>
    </row>
    <row r="121" spans="1:6">
      <c r="A121" s="61">
        <v>45804</v>
      </c>
      <c r="B121" s="62">
        <v>15.0037</v>
      </c>
      <c r="C121" s="57">
        <v>2694.41</v>
      </c>
      <c r="D121" s="63">
        <f t="shared" si="2"/>
        <v>-2.5976339411913662E-4</v>
      </c>
      <c r="E121" s="63">
        <f t="shared" si="3"/>
        <v>-4.6654070076275428E-5</v>
      </c>
      <c r="F121" s="70"/>
    </row>
    <row r="122" spans="1:6">
      <c r="A122" s="58">
        <v>45805</v>
      </c>
      <c r="B122" s="59">
        <v>15.016999999999999</v>
      </c>
      <c r="C122" s="57">
        <v>2697.01</v>
      </c>
      <c r="D122" s="63">
        <f t="shared" si="2"/>
        <v>9.6449551381810612E-4</v>
      </c>
      <c r="E122" s="63">
        <f t="shared" si="3"/>
        <v>8.8605534648732967E-4</v>
      </c>
      <c r="F122" s="70"/>
    </row>
    <row r="123" spans="1:6">
      <c r="A123" s="61">
        <v>45806</v>
      </c>
      <c r="B123" s="62">
        <v>15.0151</v>
      </c>
      <c r="C123" s="57">
        <v>2699.34</v>
      </c>
      <c r="D123" s="63">
        <f t="shared" si="2"/>
        <v>8.6354671019938246E-4</v>
      </c>
      <c r="E123" s="63">
        <f t="shared" si="3"/>
        <v>-1.2653127836775144E-4</v>
      </c>
      <c r="F123" s="70"/>
    </row>
    <row r="124" spans="1:6">
      <c r="A124" s="58">
        <v>45807</v>
      </c>
      <c r="B124" s="59">
        <v>15.0204</v>
      </c>
      <c r="C124" s="57">
        <v>2699.8</v>
      </c>
      <c r="D124" s="63">
        <f t="shared" si="2"/>
        <v>1.7039750816345384E-4</v>
      </c>
      <c r="E124" s="63">
        <f t="shared" si="3"/>
        <v>3.5291572006521652E-4</v>
      </c>
      <c r="F124" s="70"/>
    </row>
    <row r="125" spans="1:6">
      <c r="A125" s="61">
        <v>45810</v>
      </c>
      <c r="B125" s="62">
        <v>15.027200000000001</v>
      </c>
      <c r="C125" s="57">
        <v>2701.74</v>
      </c>
      <c r="D125" s="63">
        <f t="shared" si="2"/>
        <v>7.1831369698849496E-4</v>
      </c>
      <c r="E125" s="63">
        <f t="shared" si="3"/>
        <v>4.5261519163512754E-4</v>
      </c>
      <c r="F125" s="70"/>
    </row>
    <row r="126" spans="1:6">
      <c r="A126" s="58">
        <v>45811</v>
      </c>
      <c r="B126" s="59">
        <v>15.0291</v>
      </c>
      <c r="C126" s="57">
        <v>2698.06</v>
      </c>
      <c r="D126" s="63">
        <f t="shared" si="2"/>
        <v>-1.363013655960298E-3</v>
      </c>
      <c r="E126" s="63">
        <f t="shared" si="3"/>
        <v>1.2642940099281285E-4</v>
      </c>
      <c r="F126" s="70"/>
    </row>
    <row r="127" spans="1:6">
      <c r="A127" s="61">
        <v>45812</v>
      </c>
      <c r="B127" s="62">
        <v>15.031700000000001</v>
      </c>
      <c r="C127" s="57">
        <v>2703.24</v>
      </c>
      <c r="D127" s="63">
        <f t="shared" si="2"/>
        <v>1.9180573521475797E-3</v>
      </c>
      <c r="E127" s="63">
        <f t="shared" si="3"/>
        <v>1.7298275538135257E-4</v>
      </c>
      <c r="F127" s="70"/>
    </row>
    <row r="128" spans="1:6">
      <c r="A128" s="58">
        <v>45813</v>
      </c>
      <c r="B128" s="59">
        <v>15.037599999999999</v>
      </c>
      <c r="C128" s="57">
        <v>2703.67</v>
      </c>
      <c r="D128" s="63">
        <f t="shared" si="2"/>
        <v>1.5905572717395453E-4</v>
      </c>
      <c r="E128" s="63">
        <f t="shared" si="3"/>
        <v>3.9242683239823858E-4</v>
      </c>
      <c r="F128" s="70"/>
    </row>
    <row r="129" spans="1:6">
      <c r="A129" s="61">
        <v>45814</v>
      </c>
      <c r="B129" s="62">
        <v>15.0479</v>
      </c>
      <c r="C129" s="57">
        <v>2707.55</v>
      </c>
      <c r="D129" s="63">
        <f t="shared" si="2"/>
        <v>1.4340576302355763E-3</v>
      </c>
      <c r="E129" s="63">
        <f t="shared" si="3"/>
        <v>6.8471525501771465E-4</v>
      </c>
      <c r="F129" s="70"/>
    </row>
    <row r="130" spans="1:6">
      <c r="A130" s="58">
        <v>45817</v>
      </c>
      <c r="B130" s="59">
        <v>15.0549</v>
      </c>
      <c r="C130" s="57">
        <v>2707.95</v>
      </c>
      <c r="D130" s="63">
        <f t="shared" si="2"/>
        <v>1.4772412546462524E-4</v>
      </c>
      <c r="E130" s="63">
        <f t="shared" si="3"/>
        <v>4.6507302484620234E-4</v>
      </c>
      <c r="F130" s="70"/>
    </row>
    <row r="131" spans="1:6">
      <c r="A131" s="61">
        <v>45818</v>
      </c>
      <c r="B131" s="62">
        <v>15.0602</v>
      </c>
      <c r="C131" s="57">
        <v>2710.51</v>
      </c>
      <c r="D131" s="63">
        <f t="shared" si="2"/>
        <v>9.4491799901793617E-4</v>
      </c>
      <c r="E131" s="63">
        <f t="shared" si="3"/>
        <v>3.5198289593725362E-4</v>
      </c>
      <c r="F131" s="70"/>
    </row>
    <row r="132" spans="1:6">
      <c r="A132" s="58">
        <v>45819</v>
      </c>
      <c r="B132" s="59">
        <v>15.0548</v>
      </c>
      <c r="C132" s="57">
        <v>2709.39</v>
      </c>
      <c r="D132" s="63">
        <f t="shared" ref="D132:D195" si="4">LN(C132/C131)</f>
        <v>-4.1329176403351564E-4</v>
      </c>
      <c r="E132" s="63">
        <f t="shared" ref="E132:E195" si="5">LN(B132/B131)</f>
        <v>-3.5862527364273917E-4</v>
      </c>
      <c r="F132" s="70"/>
    </row>
    <row r="133" spans="1:6">
      <c r="A133" s="61">
        <v>45820</v>
      </c>
      <c r="B133" s="62">
        <v>15.067600000000001</v>
      </c>
      <c r="C133" s="57">
        <v>2711.11</v>
      </c>
      <c r="D133" s="63">
        <f t="shared" si="4"/>
        <v>6.3462782316326002E-4</v>
      </c>
      <c r="E133" s="63">
        <f t="shared" si="5"/>
        <v>8.4986593169369506E-4</v>
      </c>
      <c r="F133" s="70"/>
    </row>
    <row r="134" spans="1:6">
      <c r="A134" s="58">
        <v>45821</v>
      </c>
      <c r="B134" s="59">
        <v>15.0763</v>
      </c>
      <c r="C134" s="57">
        <v>2714.68</v>
      </c>
      <c r="D134" s="63">
        <f t="shared" si="4"/>
        <v>1.3159375925637349E-3</v>
      </c>
      <c r="E134" s="63">
        <f t="shared" si="5"/>
        <v>5.7723123030299021E-4</v>
      </c>
      <c r="F134" s="70"/>
    </row>
    <row r="135" spans="1:6">
      <c r="A135" s="61">
        <v>45824</v>
      </c>
      <c r="B135" s="62">
        <v>15.067</v>
      </c>
      <c r="C135" s="57">
        <v>2712.12</v>
      </c>
      <c r="D135" s="63">
        <f t="shared" si="4"/>
        <v>-9.4346583249572979E-4</v>
      </c>
      <c r="E135" s="63">
        <f t="shared" si="5"/>
        <v>-6.1705256525225135E-4</v>
      </c>
      <c r="F135" s="70"/>
    </row>
    <row r="136" spans="1:6">
      <c r="A136" s="58">
        <v>45825</v>
      </c>
      <c r="B136" s="59">
        <v>15.082800000000001</v>
      </c>
      <c r="C136" s="57">
        <v>2715.59</v>
      </c>
      <c r="D136" s="63">
        <f t="shared" si="4"/>
        <v>1.278624124263479E-3</v>
      </c>
      <c r="E136" s="63">
        <f t="shared" si="5"/>
        <v>1.0480999175037553E-3</v>
      </c>
      <c r="F136" s="70"/>
    </row>
    <row r="137" spans="1:6">
      <c r="A137" s="61">
        <v>45826</v>
      </c>
      <c r="B137" s="62">
        <v>15.079599999999999</v>
      </c>
      <c r="C137" s="57">
        <v>2714.53</v>
      </c>
      <c r="D137" s="63">
        <f t="shared" si="4"/>
        <v>-3.9041494974844596E-4</v>
      </c>
      <c r="E137" s="63">
        <f t="shared" si="5"/>
        <v>-2.1218470758343997E-4</v>
      </c>
      <c r="F137" s="70"/>
    </row>
    <row r="138" spans="1:6">
      <c r="A138" s="58">
        <v>45827</v>
      </c>
      <c r="B138" s="59">
        <v>15.084899999999999</v>
      </c>
      <c r="C138" s="57">
        <v>2711.88</v>
      </c>
      <c r="D138" s="63">
        <f t="shared" si="4"/>
        <v>-9.7670474979390351E-4</v>
      </c>
      <c r="E138" s="63">
        <f t="shared" si="5"/>
        <v>3.5140645822339479E-4</v>
      </c>
      <c r="F138" s="70"/>
    </row>
    <row r="139" spans="1:6">
      <c r="A139" s="61">
        <v>45828</v>
      </c>
      <c r="B139" s="62">
        <v>15.0913</v>
      </c>
      <c r="C139" s="57">
        <v>2715.52</v>
      </c>
      <c r="D139" s="63">
        <f t="shared" si="4"/>
        <v>1.3413422801919045E-3</v>
      </c>
      <c r="E139" s="63">
        <f t="shared" si="5"/>
        <v>4.2417534984256903E-4</v>
      </c>
      <c r="F139" s="70"/>
    </row>
    <row r="140" spans="1:6">
      <c r="A140" s="58">
        <v>45831</v>
      </c>
      <c r="B140" s="59">
        <v>15.0869</v>
      </c>
      <c r="C140" s="57">
        <v>2710.41</v>
      </c>
      <c r="D140" s="63">
        <f t="shared" si="4"/>
        <v>-1.8835486306504109E-3</v>
      </c>
      <c r="E140" s="63">
        <f t="shared" si="5"/>
        <v>-2.9160122414047739E-4</v>
      </c>
      <c r="F140" s="70"/>
    </row>
    <row r="141" spans="1:6">
      <c r="A141" s="61">
        <v>45832</v>
      </c>
      <c r="B141" s="62">
        <v>15.087400000000001</v>
      </c>
      <c r="C141" s="57">
        <v>2708.78</v>
      </c>
      <c r="D141" s="63">
        <f t="shared" si="4"/>
        <v>-6.0156593481875038E-4</v>
      </c>
      <c r="E141" s="63">
        <f t="shared" si="5"/>
        <v>3.3140785373464048E-5</v>
      </c>
      <c r="F141" s="70"/>
    </row>
    <row r="142" spans="1:6">
      <c r="A142" s="58">
        <v>45833</v>
      </c>
      <c r="B142" s="59">
        <v>15.087999999999999</v>
      </c>
      <c r="C142" s="57">
        <v>2714.39</v>
      </c>
      <c r="D142" s="63">
        <f t="shared" si="4"/>
        <v>2.0689013993899106E-3</v>
      </c>
      <c r="E142" s="63">
        <f t="shared" si="5"/>
        <v>3.976749273107907E-5</v>
      </c>
      <c r="F142" s="70"/>
    </row>
    <row r="143" spans="1:6">
      <c r="A143" s="61">
        <v>45834</v>
      </c>
      <c r="B143" s="62">
        <v>15.097</v>
      </c>
      <c r="C143" s="57">
        <v>2720.67</v>
      </c>
      <c r="D143" s="63">
        <f t="shared" si="4"/>
        <v>2.3109230789692087E-3</v>
      </c>
      <c r="E143" s="63">
        <f t="shared" si="5"/>
        <v>5.9632269449725423E-4</v>
      </c>
      <c r="F143" s="70"/>
    </row>
    <row r="144" spans="1:6">
      <c r="A144" s="58">
        <v>45835</v>
      </c>
      <c r="B144" s="59">
        <v>15.100899999999999</v>
      </c>
      <c r="C144" s="57">
        <v>2720.34</v>
      </c>
      <c r="D144" s="63">
        <f t="shared" si="4"/>
        <v>-1.2130100860113719E-4</v>
      </c>
      <c r="E144" s="63">
        <f t="shared" si="5"/>
        <v>2.5829610811890162E-4</v>
      </c>
      <c r="F144" s="70"/>
    </row>
    <row r="145" spans="1:6">
      <c r="A145" s="61">
        <v>45838</v>
      </c>
      <c r="B145" s="62">
        <v>15.1082</v>
      </c>
      <c r="C145" s="57">
        <v>2717.33</v>
      </c>
      <c r="D145" s="63">
        <f t="shared" si="4"/>
        <v>-1.1070919373315617E-3</v>
      </c>
      <c r="E145" s="63">
        <f t="shared" si="5"/>
        <v>4.8329808846307395E-4</v>
      </c>
      <c r="F145" s="70"/>
    </row>
    <row r="146" spans="1:6">
      <c r="A146" s="58">
        <v>45839</v>
      </c>
      <c r="B146" s="59">
        <v>15.113</v>
      </c>
      <c r="C146" s="57">
        <v>2718.97</v>
      </c>
      <c r="D146" s="63">
        <f t="shared" si="4"/>
        <v>6.0335156255221327E-4</v>
      </c>
      <c r="E146" s="63">
        <f t="shared" si="5"/>
        <v>3.176578058026452E-4</v>
      </c>
      <c r="F146" s="70"/>
    </row>
    <row r="147" spans="1:6">
      <c r="A147" s="61">
        <v>45840</v>
      </c>
      <c r="B147" s="62">
        <v>15.1175</v>
      </c>
      <c r="C147" s="57">
        <v>2719.77</v>
      </c>
      <c r="D147" s="63">
        <f t="shared" si="4"/>
        <v>2.941857877999895E-4</v>
      </c>
      <c r="E147" s="63">
        <f t="shared" si="5"/>
        <v>2.9771257724740477E-4</v>
      </c>
      <c r="F147" s="70"/>
    </row>
    <row r="148" spans="1:6">
      <c r="A148" s="58">
        <v>45841</v>
      </c>
      <c r="B148" s="59">
        <v>15.1219</v>
      </c>
      <c r="C148" s="57">
        <v>2718.25</v>
      </c>
      <c r="D148" s="63">
        <f t="shared" si="4"/>
        <v>-5.5902701335586993E-4</v>
      </c>
      <c r="E148" s="63">
        <f t="shared" si="5"/>
        <v>2.9101106708815131E-4</v>
      </c>
      <c r="F148" s="70"/>
    </row>
    <row r="149" spans="1:6">
      <c r="A149" s="61">
        <v>45842</v>
      </c>
      <c r="B149" s="62">
        <v>15.1273</v>
      </c>
      <c r="C149" s="57">
        <v>2722.67</v>
      </c>
      <c r="D149" s="63">
        <f t="shared" si="4"/>
        <v>1.6247255876953087E-3</v>
      </c>
      <c r="E149" s="63">
        <f t="shared" si="5"/>
        <v>3.5703423940872727E-4</v>
      </c>
      <c r="F149" s="70"/>
    </row>
    <row r="150" spans="1:6">
      <c r="A150" s="58">
        <v>45845</v>
      </c>
      <c r="B150" s="59">
        <v>15.132999999999999</v>
      </c>
      <c r="C150" s="57">
        <v>2722.89</v>
      </c>
      <c r="D150" s="63">
        <f t="shared" si="4"/>
        <v>8.0799770866299352E-5</v>
      </c>
      <c r="E150" s="63">
        <f t="shared" si="5"/>
        <v>3.7673123316114289E-4</v>
      </c>
      <c r="F150" s="70"/>
    </row>
    <row r="151" spans="1:6">
      <c r="A151" s="61">
        <v>45846</v>
      </c>
      <c r="B151" s="62">
        <v>15.129799999999999</v>
      </c>
      <c r="C151" s="57">
        <v>2723.16</v>
      </c>
      <c r="D151" s="63">
        <f t="shared" si="4"/>
        <v>9.9154433110725987E-5</v>
      </c>
      <c r="E151" s="63">
        <f t="shared" si="5"/>
        <v>-2.1148076264759495E-4</v>
      </c>
      <c r="F151" s="70"/>
    </row>
    <row r="152" spans="1:6">
      <c r="A152" s="58">
        <v>45847</v>
      </c>
      <c r="B152" s="59">
        <v>15.137600000000001</v>
      </c>
      <c r="C152" s="57">
        <v>2720.74</v>
      </c>
      <c r="D152" s="63">
        <f t="shared" si="4"/>
        <v>-8.8906855724978724E-4</v>
      </c>
      <c r="E152" s="63">
        <f t="shared" si="5"/>
        <v>5.1540602580139546E-4</v>
      </c>
      <c r="F152" s="70"/>
    </row>
    <row r="153" spans="1:6">
      <c r="A153" s="61">
        <v>45848</v>
      </c>
      <c r="B153" s="62">
        <v>15.1472</v>
      </c>
      <c r="C153" s="57">
        <v>2721.79</v>
      </c>
      <c r="D153" s="63">
        <f t="shared" si="4"/>
        <v>3.858499679475986E-4</v>
      </c>
      <c r="E153" s="63">
        <f t="shared" si="5"/>
        <v>6.3398142444699127E-4</v>
      </c>
      <c r="F153" s="70"/>
    </row>
    <row r="154" spans="1:6">
      <c r="A154" s="58">
        <v>45849</v>
      </c>
      <c r="B154" s="59">
        <v>15.148400000000001</v>
      </c>
      <c r="C154" s="57">
        <v>2719.71</v>
      </c>
      <c r="D154" s="63">
        <f t="shared" si="4"/>
        <v>-7.6449512131034276E-4</v>
      </c>
      <c r="E154" s="63">
        <f t="shared" si="5"/>
        <v>7.9219424644374773E-5</v>
      </c>
      <c r="F154" s="70"/>
    </row>
    <row r="155" spans="1:6">
      <c r="A155" s="61">
        <v>45852</v>
      </c>
      <c r="B155" s="62">
        <v>15.144500000000001</v>
      </c>
      <c r="C155" s="57">
        <v>2720.11</v>
      </c>
      <c r="D155" s="63">
        <f t="shared" si="4"/>
        <v>1.4706368987252945E-4</v>
      </c>
      <c r="E155" s="63">
        <f t="shared" si="5"/>
        <v>-2.5748607901826694E-4</v>
      </c>
      <c r="F155" s="70"/>
    </row>
    <row r="156" spans="1:6">
      <c r="A156" s="58">
        <v>45853</v>
      </c>
      <c r="B156" s="59">
        <v>15.1501</v>
      </c>
      <c r="C156" s="57">
        <v>2721.03</v>
      </c>
      <c r="D156" s="63">
        <f t="shared" si="4"/>
        <v>3.3816443200047013E-4</v>
      </c>
      <c r="E156" s="63">
        <f t="shared" si="5"/>
        <v>3.6970285554401673E-4</v>
      </c>
      <c r="F156" s="70"/>
    </row>
    <row r="157" spans="1:6">
      <c r="A157" s="61">
        <v>45854</v>
      </c>
      <c r="B157" s="62">
        <v>15.156499999999999</v>
      </c>
      <c r="C157" s="57">
        <v>2725.05</v>
      </c>
      <c r="D157" s="63">
        <f t="shared" si="4"/>
        <v>1.4762914720721015E-3</v>
      </c>
      <c r="E157" s="63">
        <f t="shared" si="5"/>
        <v>4.2235025341912959E-4</v>
      </c>
      <c r="F157" s="70"/>
    </row>
    <row r="158" spans="1:6">
      <c r="A158" s="58">
        <v>45855</v>
      </c>
      <c r="B158" s="59">
        <v>15.154199999999999</v>
      </c>
      <c r="C158" s="57">
        <v>2722.16</v>
      </c>
      <c r="D158" s="63">
        <f t="shared" si="4"/>
        <v>-1.0610937603505364E-3</v>
      </c>
      <c r="E158" s="63">
        <f t="shared" si="5"/>
        <v>-1.5176158943311588E-4</v>
      </c>
      <c r="F158" s="70"/>
    </row>
    <row r="159" spans="1:6">
      <c r="A159" s="61">
        <v>45856</v>
      </c>
      <c r="B159" s="62">
        <v>15.1599</v>
      </c>
      <c r="C159" s="57">
        <v>2723.72</v>
      </c>
      <c r="D159" s="63">
        <f t="shared" si="4"/>
        <v>5.7291017894968617E-4</v>
      </c>
      <c r="E159" s="63">
        <f t="shared" si="5"/>
        <v>3.7606262875532941E-4</v>
      </c>
      <c r="F159" s="70"/>
    </row>
    <row r="160" spans="1:6">
      <c r="A160" s="58">
        <v>45859</v>
      </c>
      <c r="B160" s="59">
        <v>15.1653</v>
      </c>
      <c r="C160" s="57">
        <v>2727.91</v>
      </c>
      <c r="D160" s="63">
        <f t="shared" si="4"/>
        <v>1.5371552453219129E-3</v>
      </c>
      <c r="E160" s="63">
        <f t="shared" si="5"/>
        <v>3.5613945214376053E-4</v>
      </c>
      <c r="F160" s="70"/>
    </row>
    <row r="161" spans="1:6">
      <c r="A161" s="61">
        <v>45860</v>
      </c>
      <c r="B161" s="62">
        <v>15.1707</v>
      </c>
      <c r="C161" s="57">
        <v>2728.15</v>
      </c>
      <c r="D161" s="63">
        <f t="shared" si="4"/>
        <v>8.7975572172984309E-5</v>
      </c>
      <c r="E161" s="63">
        <f t="shared" si="5"/>
        <v>3.5601266198803942E-4</v>
      </c>
      <c r="F161" s="70"/>
    </row>
    <row r="162" spans="1:6">
      <c r="A162" s="58">
        <v>45861</v>
      </c>
      <c r="B162" s="59">
        <v>15.1684</v>
      </c>
      <c r="C162" s="57">
        <v>2729.67</v>
      </c>
      <c r="D162" s="63">
        <f t="shared" si="4"/>
        <v>5.5699896269859463E-4</v>
      </c>
      <c r="E162" s="63">
        <f t="shared" si="5"/>
        <v>-1.5161952756713245E-4</v>
      </c>
      <c r="F162" s="70"/>
    </row>
    <row r="163" spans="1:6">
      <c r="A163" s="61">
        <v>45862</v>
      </c>
      <c r="B163" s="62">
        <v>15.1738</v>
      </c>
      <c r="C163" s="57">
        <v>2728.31</v>
      </c>
      <c r="D163" s="63">
        <f t="shared" si="4"/>
        <v>-4.9835288078994356E-4</v>
      </c>
      <c r="E163" s="63">
        <f t="shared" si="5"/>
        <v>3.5593991582751354E-4</v>
      </c>
      <c r="F163" s="70"/>
    </row>
    <row r="164" spans="1:6">
      <c r="A164" s="58">
        <v>45863</v>
      </c>
      <c r="B164" s="59">
        <v>15.1853</v>
      </c>
      <c r="C164" s="57">
        <v>2729.35</v>
      </c>
      <c r="D164" s="63">
        <f t="shared" si="4"/>
        <v>3.8111572087245273E-4</v>
      </c>
      <c r="E164" s="63">
        <f t="shared" si="5"/>
        <v>7.5759825225649678E-4</v>
      </c>
      <c r="F164" s="70"/>
    </row>
    <row r="165" spans="1:6">
      <c r="A165" s="61">
        <v>45866</v>
      </c>
      <c r="B165" s="62">
        <v>15.1854</v>
      </c>
      <c r="C165" s="57">
        <v>2726.46</v>
      </c>
      <c r="D165" s="63">
        <f t="shared" si="4"/>
        <v>-1.0594211566403115E-3</v>
      </c>
      <c r="E165" s="63">
        <f t="shared" si="5"/>
        <v>6.5852943791367089E-6</v>
      </c>
      <c r="F165" s="70"/>
    </row>
    <row r="166" spans="1:6">
      <c r="A166" s="58">
        <v>45867</v>
      </c>
      <c r="B166" s="59">
        <v>15.1836</v>
      </c>
      <c r="C166" s="57">
        <v>2729.38</v>
      </c>
      <c r="D166" s="63">
        <f t="shared" si="4"/>
        <v>1.0704127242761366E-3</v>
      </c>
      <c r="E166" s="63">
        <f t="shared" si="5"/>
        <v>-1.185419343480108E-4</v>
      </c>
      <c r="F166" s="70"/>
    </row>
    <row r="167" spans="1:6">
      <c r="A167" s="61">
        <v>45868</v>
      </c>
      <c r="B167" s="62">
        <v>15.1911</v>
      </c>
      <c r="C167" s="57">
        <v>2730.14</v>
      </c>
      <c r="D167" s="63">
        <f t="shared" si="4"/>
        <v>2.7841275603314301E-4</v>
      </c>
      <c r="E167" s="63">
        <f t="shared" si="5"/>
        <v>4.938320478832908E-4</v>
      </c>
      <c r="F167" s="70"/>
    </row>
    <row r="168" spans="1:6">
      <c r="A168" s="58">
        <v>45869</v>
      </c>
      <c r="B168" s="59">
        <v>15.199</v>
      </c>
      <c r="C168" s="57">
        <v>2730.39</v>
      </c>
      <c r="D168" s="63">
        <f t="shared" si="4"/>
        <v>9.1566203344681964E-5</v>
      </c>
      <c r="E168" s="63">
        <f t="shared" si="5"/>
        <v>5.199061653596421E-4</v>
      </c>
      <c r="F168" s="70"/>
    </row>
    <row r="169" spans="1:6">
      <c r="A169" s="61">
        <v>45870</v>
      </c>
      <c r="B169" s="62">
        <v>15.2197</v>
      </c>
      <c r="C169" s="57">
        <v>2732.69</v>
      </c>
      <c r="D169" s="63">
        <f t="shared" si="4"/>
        <v>8.4201590893429339E-4</v>
      </c>
      <c r="E169" s="63">
        <f t="shared" si="5"/>
        <v>1.3610051182515375E-3</v>
      </c>
      <c r="F169" s="70"/>
    </row>
    <row r="170" spans="1:6">
      <c r="A170" s="58">
        <v>45873</v>
      </c>
      <c r="B170" s="59">
        <v>15.2082</v>
      </c>
      <c r="C170" s="57">
        <v>2733.19</v>
      </c>
      <c r="D170" s="63">
        <f t="shared" si="4"/>
        <v>1.8295315718403895E-4</v>
      </c>
      <c r="E170" s="63">
        <f t="shared" si="5"/>
        <v>-7.558852597488216E-4</v>
      </c>
      <c r="F170" s="70"/>
    </row>
    <row r="171" spans="1:6">
      <c r="A171" s="61">
        <v>45874</v>
      </c>
      <c r="B171" s="62">
        <v>15.217499999999999</v>
      </c>
      <c r="C171" s="57">
        <v>2733.05</v>
      </c>
      <c r="D171" s="63">
        <f t="shared" si="4"/>
        <v>-5.1223510138761645E-5</v>
      </c>
      <c r="E171" s="63">
        <f t="shared" si="5"/>
        <v>6.1132531311559185E-4</v>
      </c>
      <c r="F171" s="70"/>
    </row>
    <row r="172" spans="1:6">
      <c r="A172" s="58">
        <v>45875</v>
      </c>
      <c r="B172" s="59">
        <v>15.2182</v>
      </c>
      <c r="C172" s="57">
        <v>2734.4</v>
      </c>
      <c r="D172" s="63">
        <f t="shared" si="4"/>
        <v>4.9383168659445026E-4</v>
      </c>
      <c r="E172" s="63">
        <f t="shared" si="5"/>
        <v>4.5998613478376269E-5</v>
      </c>
      <c r="F172" s="70"/>
    </row>
    <row r="173" spans="1:6">
      <c r="A173" s="61">
        <v>45876</v>
      </c>
      <c r="B173" s="62">
        <v>15.2072</v>
      </c>
      <c r="C173" s="57">
        <v>2733.3</v>
      </c>
      <c r="D173" s="63">
        <f t="shared" si="4"/>
        <v>-4.0236297340390801E-4</v>
      </c>
      <c r="E173" s="63">
        <f t="shared" si="5"/>
        <v>-7.2308008961412935E-4</v>
      </c>
      <c r="F173" s="70"/>
    </row>
    <row r="174" spans="1:6">
      <c r="A174" s="58">
        <v>45877</v>
      </c>
      <c r="B174" s="59">
        <v>15.226900000000001</v>
      </c>
      <c r="C174" s="57">
        <v>2731.54</v>
      </c>
      <c r="D174" s="63">
        <f t="shared" si="4"/>
        <v>-6.441176908566574E-4</v>
      </c>
      <c r="E174" s="63">
        <f t="shared" si="5"/>
        <v>1.2946006454219012E-3</v>
      </c>
      <c r="F174" s="70"/>
    </row>
    <row r="175" spans="1:6">
      <c r="A175" s="61">
        <v>45880</v>
      </c>
      <c r="B175" s="62">
        <v>15.228899999999999</v>
      </c>
      <c r="C175" s="57">
        <v>2738.04</v>
      </c>
      <c r="D175" s="63">
        <f t="shared" si="4"/>
        <v>2.3767832484131893E-3</v>
      </c>
      <c r="E175" s="63">
        <f t="shared" si="5"/>
        <v>1.3133787343445793E-4</v>
      </c>
      <c r="F175" s="70"/>
    </row>
    <row r="176" spans="1:6">
      <c r="A176" s="58">
        <v>45881</v>
      </c>
      <c r="B176" s="59">
        <v>15.232699999999999</v>
      </c>
      <c r="C176" s="57">
        <v>2735.35</v>
      </c>
      <c r="D176" s="63">
        <f t="shared" si="4"/>
        <v>-9.8293752741252915E-4</v>
      </c>
      <c r="E176" s="63">
        <f t="shared" si="5"/>
        <v>2.4949444676006162E-4</v>
      </c>
      <c r="F176" s="70"/>
    </row>
    <row r="177" spans="1:6">
      <c r="A177" s="61">
        <v>45882</v>
      </c>
      <c r="B177" s="62">
        <v>15.2255</v>
      </c>
      <c r="C177" s="57">
        <v>2734.77</v>
      </c>
      <c r="D177" s="63">
        <f t="shared" si="4"/>
        <v>-2.1206116215854968E-4</v>
      </c>
      <c r="E177" s="63">
        <f t="shared" si="5"/>
        <v>-4.727790962113136E-4</v>
      </c>
      <c r="F177" s="70"/>
    </row>
    <row r="178" spans="1:6">
      <c r="A178" s="58">
        <v>45883</v>
      </c>
      <c r="B178" s="59">
        <v>15.2423</v>
      </c>
      <c r="C178" s="57">
        <v>2739.38</v>
      </c>
      <c r="D178" s="63">
        <f t="shared" si="4"/>
        <v>1.6842801493578946E-3</v>
      </c>
      <c r="E178" s="63">
        <f t="shared" si="5"/>
        <v>1.1028037273873022E-3</v>
      </c>
      <c r="F178" s="70"/>
    </row>
    <row r="179" spans="1:6">
      <c r="A179" s="61">
        <v>45887</v>
      </c>
      <c r="B179" s="62">
        <v>15.237399999999999</v>
      </c>
      <c r="C179" s="57">
        <v>2737.17</v>
      </c>
      <c r="D179" s="63">
        <f t="shared" si="4"/>
        <v>-8.0707749220268346E-4</v>
      </c>
      <c r="E179" s="63">
        <f t="shared" si="5"/>
        <v>-3.2152547710210286E-4</v>
      </c>
      <c r="F179" s="70"/>
    </row>
    <row r="180" spans="1:6">
      <c r="A180" s="58">
        <v>45888</v>
      </c>
      <c r="B180" s="59">
        <v>15.2401</v>
      </c>
      <c r="C180" s="57">
        <v>2742.34</v>
      </c>
      <c r="D180" s="63">
        <f t="shared" si="4"/>
        <v>1.8870306046152702E-3</v>
      </c>
      <c r="E180" s="63">
        <f t="shared" si="5"/>
        <v>1.7717988726535764E-4</v>
      </c>
      <c r="F180" s="70"/>
    </row>
    <row r="181" spans="1:6">
      <c r="A181" s="61">
        <v>45889</v>
      </c>
      <c r="B181" s="62">
        <v>15.247</v>
      </c>
      <c r="C181" s="57">
        <v>2744.34</v>
      </c>
      <c r="D181" s="63">
        <f t="shared" si="4"/>
        <v>7.2903835783481082E-4</v>
      </c>
      <c r="E181" s="63">
        <f t="shared" si="5"/>
        <v>4.5265047300749626E-4</v>
      </c>
      <c r="F181" s="70"/>
    </row>
    <row r="182" spans="1:6">
      <c r="A182" s="58">
        <v>45890</v>
      </c>
      <c r="B182" s="59">
        <v>15.2539</v>
      </c>
      <c r="C182" s="57">
        <v>2743.44</v>
      </c>
      <c r="D182" s="63">
        <f t="shared" si="4"/>
        <v>-3.2800148988076043E-4</v>
      </c>
      <c r="E182" s="63">
        <f t="shared" si="5"/>
        <v>4.5244567325586756E-4</v>
      </c>
      <c r="F182" s="70"/>
    </row>
    <row r="183" spans="1:6">
      <c r="A183" s="61">
        <v>45891</v>
      </c>
      <c r="B183" s="62">
        <v>15.2554</v>
      </c>
      <c r="C183" s="57">
        <v>2743.41</v>
      </c>
      <c r="D183" s="63">
        <f t="shared" si="4"/>
        <v>-1.0935236064626795E-5</v>
      </c>
      <c r="E183" s="63">
        <f t="shared" si="5"/>
        <v>9.8330673021621265E-5</v>
      </c>
      <c r="F183" s="70"/>
    </row>
    <row r="184" spans="1:6">
      <c r="A184" s="58">
        <v>45894</v>
      </c>
      <c r="B184" s="59">
        <v>15.2613</v>
      </c>
      <c r="C184" s="57">
        <v>2744.45</v>
      </c>
      <c r="D184" s="63">
        <f t="shared" si="4"/>
        <v>3.7901841973004251E-4</v>
      </c>
      <c r="E184" s="63">
        <f t="shared" si="5"/>
        <v>3.8667353111657507E-4</v>
      </c>
      <c r="F184" s="70"/>
    </row>
    <row r="185" spans="1:6">
      <c r="A185" s="61">
        <v>45895</v>
      </c>
      <c r="B185" s="62">
        <v>15.268800000000001</v>
      </c>
      <c r="C185" s="57">
        <v>2742.42</v>
      </c>
      <c r="D185" s="63">
        <f t="shared" si="4"/>
        <v>-7.3994831028343744E-4</v>
      </c>
      <c r="E185" s="63">
        <f t="shared" si="5"/>
        <v>4.9131841368832462E-4</v>
      </c>
      <c r="F185" s="70"/>
    </row>
    <row r="186" spans="1:6">
      <c r="A186" s="58">
        <v>45897</v>
      </c>
      <c r="B186" s="59">
        <v>15.2719</v>
      </c>
      <c r="C186" s="57">
        <v>2742.47</v>
      </c>
      <c r="D186" s="63">
        <f t="shared" si="4"/>
        <v>1.823190620093403E-5</v>
      </c>
      <c r="E186" s="63">
        <f t="shared" si="5"/>
        <v>2.0300779030259542E-4</v>
      </c>
      <c r="F186" s="70"/>
    </row>
    <row r="187" spans="1:6">
      <c r="A187" s="61">
        <v>45898</v>
      </c>
      <c r="B187" s="62">
        <v>15.272500000000001</v>
      </c>
      <c r="C187" s="57">
        <v>2742.57</v>
      </c>
      <c r="D187" s="63">
        <f t="shared" si="4"/>
        <v>3.6462815225109211E-5</v>
      </c>
      <c r="E187" s="63">
        <f t="shared" si="5"/>
        <v>3.9287070630101104E-5</v>
      </c>
      <c r="F187" s="70"/>
    </row>
    <row r="188" spans="1:6">
      <c r="A188" s="58">
        <v>45901</v>
      </c>
      <c r="B188" s="59">
        <v>15.272</v>
      </c>
      <c r="C188" s="57">
        <v>2745.75</v>
      </c>
      <c r="D188" s="63">
        <f t="shared" si="4"/>
        <v>1.1588246880143208E-3</v>
      </c>
      <c r="E188" s="63">
        <f t="shared" si="5"/>
        <v>-3.2739118338453382E-5</v>
      </c>
      <c r="F188" s="70"/>
    </row>
    <row r="189" spans="1:6">
      <c r="A189" s="61">
        <v>45902</v>
      </c>
      <c r="B189" s="62">
        <v>15.280200000000001</v>
      </c>
      <c r="C189" s="57">
        <v>2746.49</v>
      </c>
      <c r="D189" s="63">
        <f t="shared" si="4"/>
        <v>2.6947110995794831E-4</v>
      </c>
      <c r="E189" s="63">
        <f t="shared" si="5"/>
        <v>5.367862345033315E-4</v>
      </c>
      <c r="F189" s="70"/>
    </row>
    <row r="190" spans="1:6">
      <c r="A190" s="58">
        <v>45903</v>
      </c>
      <c r="B190" s="59">
        <v>15.277699999999999</v>
      </c>
      <c r="C190" s="57">
        <v>2750.13</v>
      </c>
      <c r="D190" s="63">
        <f t="shared" si="4"/>
        <v>1.324450492156466E-3</v>
      </c>
      <c r="E190" s="63">
        <f t="shared" si="5"/>
        <v>-1.6362380959286622E-4</v>
      </c>
      <c r="F190" s="70"/>
    </row>
    <row r="191" spans="1:6">
      <c r="A191" s="61">
        <v>45904</v>
      </c>
      <c r="B191" s="62">
        <v>15.2925</v>
      </c>
      <c r="C191" s="57">
        <v>2750.68</v>
      </c>
      <c r="D191" s="63">
        <f t="shared" si="4"/>
        <v>1.999705504580266E-4</v>
      </c>
      <c r="E191" s="63">
        <f t="shared" si="5"/>
        <v>9.682632862259761E-4</v>
      </c>
      <c r="F191" s="70"/>
    </row>
    <row r="192" spans="1:6">
      <c r="A192" s="58">
        <v>45905</v>
      </c>
      <c r="B192" s="59">
        <v>15.2844</v>
      </c>
      <c r="C192" s="57">
        <v>2749.81</v>
      </c>
      <c r="D192" s="63">
        <f t="shared" si="4"/>
        <v>-3.1633545638836568E-4</v>
      </c>
      <c r="E192" s="63">
        <f t="shared" si="5"/>
        <v>-5.2981173300587609E-4</v>
      </c>
      <c r="F192" s="70"/>
    </row>
    <row r="193" spans="1:6">
      <c r="A193" s="61">
        <v>45908</v>
      </c>
      <c r="B193" s="62">
        <v>15.2867</v>
      </c>
      <c r="C193" s="57">
        <v>2748.65</v>
      </c>
      <c r="D193" s="63">
        <f t="shared" si="4"/>
        <v>-4.2193633024864606E-4</v>
      </c>
      <c r="E193" s="63">
        <f t="shared" si="5"/>
        <v>1.5046890719279968E-4</v>
      </c>
      <c r="F193" s="70"/>
    </row>
    <row r="194" spans="1:6">
      <c r="A194" s="58">
        <v>45909</v>
      </c>
      <c r="B194" s="59">
        <v>15.291</v>
      </c>
      <c r="C194" s="57">
        <v>2753.13</v>
      </c>
      <c r="D194" s="63">
        <f t="shared" si="4"/>
        <v>1.6285642065523075E-3</v>
      </c>
      <c r="E194" s="63">
        <f t="shared" si="5"/>
        <v>2.8125071724464668E-4</v>
      </c>
      <c r="F194" s="70"/>
    </row>
    <row r="195" spans="1:6">
      <c r="A195" s="61">
        <v>45910</v>
      </c>
      <c r="B195" s="62">
        <v>15.2881</v>
      </c>
      <c r="C195" s="57">
        <v>2751.63</v>
      </c>
      <c r="D195" s="63">
        <f t="shared" si="4"/>
        <v>-5.4498290102599021E-4</v>
      </c>
      <c r="E195" s="63">
        <f t="shared" si="5"/>
        <v>-1.896720314655983E-4</v>
      </c>
      <c r="F195" s="70"/>
    </row>
    <row r="196" spans="1:6">
      <c r="A196" s="58">
        <v>45911</v>
      </c>
      <c r="B196" s="59">
        <v>15.293100000000001</v>
      </c>
      <c r="C196" s="57">
        <v>2752.48</v>
      </c>
      <c r="D196" s="63">
        <f t="shared" ref="D196:D248" si="6">LN(C196/C195)</f>
        <v>3.0886010881218164E-4</v>
      </c>
      <c r="E196" s="63">
        <f t="shared" ref="E196:E248" si="7">LN(B196/B195)</f>
        <v>3.2699828944288486E-4</v>
      </c>
      <c r="F196" s="70"/>
    </row>
    <row r="197" spans="1:6">
      <c r="A197" s="61">
        <v>45912</v>
      </c>
      <c r="B197" s="62">
        <v>15.3003</v>
      </c>
      <c r="C197" s="57">
        <v>2754.78</v>
      </c>
      <c r="D197" s="63">
        <f t="shared" si="6"/>
        <v>8.3526114028329899E-4</v>
      </c>
      <c r="E197" s="63">
        <f t="shared" si="7"/>
        <v>4.7068976530414785E-4</v>
      </c>
      <c r="F197" s="70"/>
    </row>
    <row r="198" spans="1:6">
      <c r="A198" s="58">
        <v>45915</v>
      </c>
      <c r="B198" s="59">
        <v>15.295999999999999</v>
      </c>
      <c r="C198" s="57">
        <v>2754.2</v>
      </c>
      <c r="D198" s="63">
        <f t="shared" si="6"/>
        <v>-2.1056529598710189E-4</v>
      </c>
      <c r="E198" s="63">
        <f t="shared" si="7"/>
        <v>-2.8107974025032441E-4</v>
      </c>
      <c r="F198" s="70"/>
    </row>
    <row r="199" spans="1:6">
      <c r="A199" s="61">
        <v>45916</v>
      </c>
      <c r="B199" s="62">
        <v>15.298400000000001</v>
      </c>
      <c r="C199" s="57">
        <v>2755.57</v>
      </c>
      <c r="D199" s="63">
        <f t="shared" si="6"/>
        <v>4.9729844557377327E-4</v>
      </c>
      <c r="E199" s="63">
        <f t="shared" si="7"/>
        <v>1.5689145758215081E-4</v>
      </c>
      <c r="F199" s="70"/>
    </row>
    <row r="200" spans="1:6">
      <c r="A200" s="58">
        <v>45917</v>
      </c>
      <c r="B200" s="59">
        <v>15.301399999999999</v>
      </c>
      <c r="C200" s="57">
        <v>2755.38</v>
      </c>
      <c r="D200" s="63">
        <f t="shared" si="6"/>
        <v>-6.8953628712037335E-5</v>
      </c>
      <c r="E200" s="63">
        <f t="shared" si="7"/>
        <v>1.9607971356752014E-4</v>
      </c>
      <c r="F200" s="70"/>
    </row>
    <row r="201" spans="1:6">
      <c r="A201" s="61">
        <v>45918</v>
      </c>
      <c r="B201" s="62">
        <v>15.302300000000001</v>
      </c>
      <c r="C201" s="57">
        <v>2757.3</v>
      </c>
      <c r="D201" s="63">
        <f t="shared" si="6"/>
        <v>6.9657592228649756E-4</v>
      </c>
      <c r="E201" s="63">
        <f t="shared" si="7"/>
        <v>5.8816417639681634E-5</v>
      </c>
      <c r="F201" s="70"/>
    </row>
    <row r="202" spans="1:6">
      <c r="A202" s="58">
        <v>45919</v>
      </c>
      <c r="B202" s="59">
        <v>15.307</v>
      </c>
      <c r="C202" s="57">
        <v>2756.73</v>
      </c>
      <c r="D202" s="63">
        <f t="shared" si="6"/>
        <v>-2.0674533944519029E-4</v>
      </c>
      <c r="E202" s="63">
        <f t="shared" si="7"/>
        <v>3.0709621173539048E-4</v>
      </c>
      <c r="F202" s="70"/>
    </row>
    <row r="203" spans="1:6">
      <c r="A203" s="61">
        <v>45922</v>
      </c>
      <c r="B203" s="62">
        <v>15.311</v>
      </c>
      <c r="C203" s="57">
        <v>2756.68</v>
      </c>
      <c r="D203" s="63">
        <f t="shared" si="6"/>
        <v>-1.8137595427000896E-5</v>
      </c>
      <c r="E203" s="63">
        <f t="shared" si="7"/>
        <v>2.6128421338788747E-4</v>
      </c>
      <c r="F203" s="70"/>
    </row>
    <row r="204" spans="1:6">
      <c r="A204" s="58">
        <v>45923</v>
      </c>
      <c r="B204" s="59">
        <v>15.3096</v>
      </c>
      <c r="C204" s="57">
        <v>2755.91</v>
      </c>
      <c r="D204" s="63">
        <f t="shared" si="6"/>
        <v>-2.793605201938957E-4</v>
      </c>
      <c r="E204" s="63">
        <f t="shared" si="7"/>
        <v>-9.1441709239876255E-5</v>
      </c>
      <c r="F204" s="70"/>
    </row>
    <row r="205" spans="1:6">
      <c r="A205" s="61">
        <v>45924</v>
      </c>
      <c r="B205" s="62">
        <v>15.319800000000001</v>
      </c>
      <c r="C205" s="57">
        <v>2756.31</v>
      </c>
      <c r="D205" s="63">
        <f t="shared" si="6"/>
        <v>1.4513208859661932E-4</v>
      </c>
      <c r="E205" s="63">
        <f t="shared" si="7"/>
        <v>6.6602678322492926E-4</v>
      </c>
      <c r="F205" s="70"/>
    </row>
    <row r="206" spans="1:6">
      <c r="A206" s="58">
        <v>45925</v>
      </c>
      <c r="B206" s="59">
        <v>15.318300000000001</v>
      </c>
      <c r="C206" s="57">
        <v>2752.79</v>
      </c>
      <c r="D206" s="63">
        <f t="shared" si="6"/>
        <v>-1.2778858539547802E-3</v>
      </c>
      <c r="E206" s="63">
        <f t="shared" si="7"/>
        <v>-9.7917299127425444E-5</v>
      </c>
      <c r="F206" s="70"/>
    </row>
    <row r="207" spans="1:6">
      <c r="A207" s="61">
        <v>45926</v>
      </c>
      <c r="B207" s="62">
        <v>15.3344</v>
      </c>
      <c r="C207" s="57">
        <v>2758.5</v>
      </c>
      <c r="D207" s="63">
        <f t="shared" si="6"/>
        <v>2.0721109007359353E-3</v>
      </c>
      <c r="E207" s="63">
        <f t="shared" si="7"/>
        <v>1.050478521013487E-3</v>
      </c>
      <c r="F207" s="70"/>
    </row>
    <row r="208" spans="1:6">
      <c r="A208" s="58">
        <v>45929</v>
      </c>
      <c r="B208" s="59">
        <v>15.332100000000001</v>
      </c>
      <c r="C208" s="57">
        <v>2754.26</v>
      </c>
      <c r="D208" s="63">
        <f t="shared" si="6"/>
        <v>-1.5382497464288419E-3</v>
      </c>
      <c r="E208" s="63">
        <f t="shared" si="7"/>
        <v>-1.5000081550309145E-4</v>
      </c>
      <c r="F208" s="70"/>
    </row>
    <row r="209" spans="1:6">
      <c r="A209" s="61">
        <v>45930</v>
      </c>
      <c r="B209" s="62">
        <v>15.333299999999999</v>
      </c>
      <c r="C209" s="57">
        <v>2756.16</v>
      </c>
      <c r="D209" s="63">
        <f t="shared" si="6"/>
        <v>6.8960263475219101E-4</v>
      </c>
      <c r="E209" s="63">
        <f t="shared" si="7"/>
        <v>7.8264102252754449E-5</v>
      </c>
      <c r="F209" s="70"/>
    </row>
    <row r="210" spans="1:6">
      <c r="A210" s="58">
        <v>45931</v>
      </c>
      <c r="B210" s="59">
        <v>15.341100000000001</v>
      </c>
      <c r="C210" s="57">
        <v>2761.24</v>
      </c>
      <c r="D210" s="63">
        <f t="shared" si="6"/>
        <v>1.8414475787484903E-3</v>
      </c>
      <c r="E210" s="63">
        <f t="shared" si="7"/>
        <v>5.0856741570289292E-4</v>
      </c>
      <c r="F210" s="70"/>
    </row>
    <row r="211" spans="1:6">
      <c r="A211" s="61">
        <v>45933</v>
      </c>
      <c r="B211" s="62">
        <v>15.347200000000001</v>
      </c>
      <c r="C211" s="57">
        <v>2763.78</v>
      </c>
      <c r="D211" s="63">
        <f t="shared" si="6"/>
        <v>9.194537500107733E-4</v>
      </c>
      <c r="E211" s="63">
        <f t="shared" si="7"/>
        <v>3.9754564966712171E-4</v>
      </c>
      <c r="F211" s="70"/>
    </row>
    <row r="212" spans="1:6">
      <c r="A212" s="58">
        <v>45936</v>
      </c>
      <c r="B212" s="59">
        <v>15.3528</v>
      </c>
      <c r="C212" s="57">
        <v>2763.93</v>
      </c>
      <c r="D212" s="63">
        <f t="shared" si="6"/>
        <v>5.4272022242918036E-5</v>
      </c>
      <c r="E212" s="63">
        <f t="shared" si="7"/>
        <v>3.6482085095171195E-4</v>
      </c>
      <c r="F212" s="70"/>
    </row>
    <row r="213" spans="1:6">
      <c r="A213" s="61">
        <v>45937</v>
      </c>
      <c r="B213" s="62">
        <v>15.354900000000001</v>
      </c>
      <c r="C213" s="57">
        <v>2764.48</v>
      </c>
      <c r="D213" s="63">
        <f t="shared" si="6"/>
        <v>1.9897221870832497E-4</v>
      </c>
      <c r="E213" s="63">
        <f t="shared" si="7"/>
        <v>1.3677351304555618E-4</v>
      </c>
      <c r="F213" s="70"/>
    </row>
    <row r="214" spans="1:6">
      <c r="A214" s="58">
        <v>45938</v>
      </c>
      <c r="B214" s="59">
        <v>15.3703</v>
      </c>
      <c r="C214" s="57">
        <v>2768.52</v>
      </c>
      <c r="D214" s="63">
        <f t="shared" si="6"/>
        <v>1.4603291949981019E-3</v>
      </c>
      <c r="E214" s="63">
        <f t="shared" si="7"/>
        <v>1.0024345676896719E-3</v>
      </c>
      <c r="F214" s="70"/>
    </row>
    <row r="215" spans="1:6">
      <c r="A215" s="61">
        <v>45939</v>
      </c>
      <c r="B215" s="62">
        <v>15.358599999999999</v>
      </c>
      <c r="C215" s="57">
        <v>2768.87</v>
      </c>
      <c r="D215" s="63">
        <f t="shared" si="6"/>
        <v>1.2641334652821229E-4</v>
      </c>
      <c r="E215" s="63">
        <f t="shared" si="7"/>
        <v>-7.6149817047688E-4</v>
      </c>
      <c r="F215" s="70"/>
    </row>
    <row r="216" spans="1:6">
      <c r="A216" s="58">
        <v>45940</v>
      </c>
      <c r="B216" s="59">
        <v>15.3627</v>
      </c>
      <c r="C216" s="57">
        <v>2764.41</v>
      </c>
      <c r="D216" s="63">
        <f t="shared" si="6"/>
        <v>-1.612064079847377E-3</v>
      </c>
      <c r="E216" s="63">
        <f t="shared" si="7"/>
        <v>2.6691578965360997E-4</v>
      </c>
      <c r="F216" s="70"/>
    </row>
    <row r="217" spans="1:6">
      <c r="A217" s="61">
        <v>45943</v>
      </c>
      <c r="B217" s="62">
        <v>15.373200000000001</v>
      </c>
      <c r="C217" s="57">
        <v>2768.51</v>
      </c>
      <c r="D217" s="63">
        <f t="shared" si="6"/>
        <v>1.4820386885948022E-3</v>
      </c>
      <c r="E217" s="63">
        <f t="shared" si="7"/>
        <v>6.8324014643894083E-4</v>
      </c>
      <c r="F217" s="70"/>
    </row>
    <row r="218" spans="1:6">
      <c r="A218" s="58">
        <v>45944</v>
      </c>
      <c r="B218" s="59">
        <v>15.385199999999999</v>
      </c>
      <c r="C218" s="57">
        <v>2769.76</v>
      </c>
      <c r="D218" s="63">
        <f t="shared" si="6"/>
        <v>4.5140450762627882E-4</v>
      </c>
      <c r="E218" s="63">
        <f t="shared" si="7"/>
        <v>7.802746962669669E-4</v>
      </c>
      <c r="F218" s="70"/>
    </row>
    <row r="219" spans="1:6">
      <c r="A219" s="61">
        <v>45945</v>
      </c>
      <c r="B219" s="62">
        <v>15.375999999999999</v>
      </c>
      <c r="C219" s="57">
        <v>2768.59</v>
      </c>
      <c r="D219" s="63">
        <f t="shared" si="6"/>
        <v>-4.2250851513717693E-4</v>
      </c>
      <c r="E219" s="63">
        <f t="shared" si="7"/>
        <v>-5.9815613658157881E-4</v>
      </c>
      <c r="F219" s="70"/>
    </row>
    <row r="220" spans="1:6">
      <c r="A220" s="58">
        <v>45946</v>
      </c>
      <c r="B220" s="59">
        <v>15.386799999999999</v>
      </c>
      <c r="C220" s="57">
        <v>2773.39</v>
      </c>
      <c r="D220" s="63">
        <f t="shared" si="6"/>
        <v>1.7322333174253572E-3</v>
      </c>
      <c r="E220" s="63">
        <f t="shared" si="7"/>
        <v>7.0214677751759746E-4</v>
      </c>
      <c r="F220" s="70"/>
    </row>
    <row r="221" spans="1:6">
      <c r="A221" s="61">
        <v>45947</v>
      </c>
      <c r="B221" s="62">
        <v>15.3964</v>
      </c>
      <c r="C221" s="57">
        <v>2775.9</v>
      </c>
      <c r="D221" s="63">
        <f t="shared" si="6"/>
        <v>9.0462029238670499E-4</v>
      </c>
      <c r="E221" s="63">
        <f t="shared" si="7"/>
        <v>6.2371685277798296E-4</v>
      </c>
      <c r="F221" s="70"/>
    </row>
    <row r="222" spans="1:6">
      <c r="A222" s="58">
        <v>45950</v>
      </c>
      <c r="B222" s="59">
        <v>15.398899999999999</v>
      </c>
      <c r="C222" s="57">
        <v>2771.87</v>
      </c>
      <c r="D222" s="63">
        <f t="shared" si="6"/>
        <v>-1.4528362599223329E-3</v>
      </c>
      <c r="E222" s="63">
        <f t="shared" si="7"/>
        <v>1.6236243878073247E-4</v>
      </c>
      <c r="F222" s="70"/>
    </row>
    <row r="223" spans="1:6">
      <c r="A223" s="61">
        <v>45953</v>
      </c>
      <c r="B223" s="62">
        <v>15.4046</v>
      </c>
      <c r="C223" s="57">
        <v>2776.22</v>
      </c>
      <c r="D223" s="63">
        <f t="shared" si="6"/>
        <v>1.5681075438117855E-3</v>
      </c>
      <c r="E223" s="63">
        <f t="shared" si="7"/>
        <v>3.7008781892054749E-4</v>
      </c>
      <c r="F223" s="70"/>
    </row>
    <row r="224" spans="1:6">
      <c r="A224" s="58">
        <v>45954</v>
      </c>
      <c r="B224" s="59">
        <v>15.4152</v>
      </c>
      <c r="C224" s="57">
        <v>2772.03</v>
      </c>
      <c r="D224" s="63">
        <f t="shared" si="6"/>
        <v>-1.5103864449301971E-3</v>
      </c>
      <c r="E224" s="63">
        <f t="shared" si="7"/>
        <v>6.8786951362182836E-4</v>
      </c>
      <c r="F224" s="70"/>
    </row>
    <row r="225" spans="1:6">
      <c r="A225" s="61">
        <v>45957</v>
      </c>
      <c r="B225" s="62">
        <v>15.409599999999999</v>
      </c>
      <c r="C225" s="57">
        <v>2779.5</v>
      </c>
      <c r="D225" s="63">
        <f t="shared" si="6"/>
        <v>2.6911516314707604E-3</v>
      </c>
      <c r="E225" s="63">
        <f t="shared" si="7"/>
        <v>-3.6334380509262578E-4</v>
      </c>
      <c r="F225" s="70"/>
    </row>
    <row r="226" spans="1:6">
      <c r="A226" s="58">
        <v>45958</v>
      </c>
      <c r="B226" s="59">
        <v>15.4117</v>
      </c>
      <c r="C226" s="57">
        <v>2777.69</v>
      </c>
      <c r="D226" s="63">
        <f t="shared" si="6"/>
        <v>-6.5140837869619584E-4</v>
      </c>
      <c r="E226" s="63">
        <f t="shared" si="7"/>
        <v>1.3626939832204322E-4</v>
      </c>
      <c r="F226" s="70"/>
    </row>
    <row r="227" spans="1:6">
      <c r="A227" s="61">
        <v>45959</v>
      </c>
      <c r="B227" s="62">
        <v>15.4086</v>
      </c>
      <c r="C227" s="57">
        <v>2780.71</v>
      </c>
      <c r="D227" s="63">
        <f t="shared" si="6"/>
        <v>1.0866437453824242E-3</v>
      </c>
      <c r="E227" s="63">
        <f t="shared" si="7"/>
        <v>-2.0116611521973617E-4</v>
      </c>
      <c r="F227" s="70"/>
    </row>
    <row r="228" spans="1:6">
      <c r="A228" s="58">
        <v>45960</v>
      </c>
      <c r="B228" s="59">
        <v>15.4183</v>
      </c>
      <c r="C228" s="57">
        <v>2780.16</v>
      </c>
      <c r="D228" s="63">
        <f t="shared" si="6"/>
        <v>-1.9781077485849392E-4</v>
      </c>
      <c r="E228" s="63">
        <f t="shared" si="7"/>
        <v>6.2932051683016075E-4</v>
      </c>
      <c r="F228" s="70"/>
    </row>
    <row r="229" spans="1:6">
      <c r="A229" s="61">
        <v>45961</v>
      </c>
      <c r="B229" s="62">
        <v>15.414899999999999</v>
      </c>
      <c r="C229" s="57">
        <v>2780.8</v>
      </c>
      <c r="D229" s="63">
        <f t="shared" si="6"/>
        <v>2.3017608572117063E-4</v>
      </c>
      <c r="E229" s="63">
        <f t="shared" si="7"/>
        <v>-2.2054149512743283E-4</v>
      </c>
      <c r="F229" s="70"/>
    </row>
    <row r="230" spans="1:6">
      <c r="A230" s="58">
        <v>45964</v>
      </c>
      <c r="B230" s="59">
        <v>15.4247</v>
      </c>
      <c r="C230" s="57">
        <v>2778.64</v>
      </c>
      <c r="D230" s="63">
        <f t="shared" si="6"/>
        <v>-7.7705672106811552E-4</v>
      </c>
      <c r="E230" s="63">
        <f t="shared" si="7"/>
        <v>6.3554652653528604E-4</v>
      </c>
      <c r="F230" s="70"/>
    </row>
    <row r="231" spans="1:6">
      <c r="A231" s="61">
        <v>45965</v>
      </c>
      <c r="B231" s="62">
        <v>15.4405</v>
      </c>
      <c r="C231" s="57">
        <v>2782.27</v>
      </c>
      <c r="D231" s="63">
        <f t="shared" si="6"/>
        <v>1.3055419043261781E-3</v>
      </c>
      <c r="E231" s="63">
        <f t="shared" si="7"/>
        <v>1.0238068361846742E-3</v>
      </c>
      <c r="F231" s="70"/>
    </row>
    <row r="232" spans="1:6">
      <c r="A232" s="58">
        <v>45967</v>
      </c>
      <c r="B232" s="59">
        <v>15.438800000000001</v>
      </c>
      <c r="C232" s="57">
        <v>2784.35</v>
      </c>
      <c r="D232" s="63">
        <f t="shared" si="6"/>
        <v>7.4731168888913743E-4</v>
      </c>
      <c r="E232" s="63">
        <f t="shared" si="7"/>
        <v>-1.1010612298314178E-4</v>
      </c>
      <c r="F232" s="70"/>
    </row>
    <row r="233" spans="1:6">
      <c r="A233" s="61">
        <v>45968</v>
      </c>
      <c r="B233" s="62">
        <v>15.4436</v>
      </c>
      <c r="C233" s="57">
        <v>2785.23</v>
      </c>
      <c r="D233" s="63">
        <f t="shared" si="6"/>
        <v>3.1600228646425684E-4</v>
      </c>
      <c r="E233" s="63">
        <f t="shared" si="7"/>
        <v>3.1085667167399532E-4</v>
      </c>
      <c r="F233" s="70"/>
    </row>
    <row r="234" spans="1:6">
      <c r="A234" s="58">
        <v>45971</v>
      </c>
      <c r="B234" s="59">
        <v>15.4415</v>
      </c>
      <c r="C234" s="57">
        <v>2787.09</v>
      </c>
      <c r="D234" s="63">
        <f t="shared" si="6"/>
        <v>6.6758551880698679E-4</v>
      </c>
      <c r="E234" s="63">
        <f t="shared" si="7"/>
        <v>-1.3598790376175411E-4</v>
      </c>
      <c r="F234" s="70"/>
    </row>
    <row r="235" spans="1:6">
      <c r="A235" s="61">
        <v>45972</v>
      </c>
      <c r="B235" s="62">
        <v>15.446400000000001</v>
      </c>
      <c r="C235" s="57">
        <v>2786.98</v>
      </c>
      <c r="D235" s="63">
        <f t="shared" si="6"/>
        <v>-3.9468467390745338E-5</v>
      </c>
      <c r="E235" s="63">
        <f t="shared" si="7"/>
        <v>3.1727634712002068E-4</v>
      </c>
      <c r="F235" s="70"/>
    </row>
    <row r="236" spans="1:6">
      <c r="A236" s="58">
        <v>45973</v>
      </c>
      <c r="B236" s="59">
        <v>15.4444</v>
      </c>
      <c r="C236" s="57">
        <v>2788.79</v>
      </c>
      <c r="D236" s="63">
        <f t="shared" si="6"/>
        <v>6.4923770656890971E-4</v>
      </c>
      <c r="E236" s="63">
        <f t="shared" si="7"/>
        <v>-1.2948839154664361E-4</v>
      </c>
      <c r="F236" s="70"/>
    </row>
    <row r="237" spans="1:6">
      <c r="A237" s="61">
        <v>45974</v>
      </c>
      <c r="B237" s="62">
        <v>15.4618</v>
      </c>
      <c r="C237" s="57">
        <v>2789.4</v>
      </c>
      <c r="D237" s="63">
        <f t="shared" si="6"/>
        <v>2.1870893692467136E-4</v>
      </c>
      <c r="E237" s="63">
        <f t="shared" si="7"/>
        <v>1.1259877848703991E-3</v>
      </c>
      <c r="F237" s="70"/>
    </row>
    <row r="238" spans="1:6">
      <c r="A238" s="58">
        <v>45975</v>
      </c>
      <c r="B238" s="59">
        <v>15.460599999999999</v>
      </c>
      <c r="C238" s="57">
        <v>2793.03</v>
      </c>
      <c r="D238" s="63">
        <f t="shared" si="6"/>
        <v>1.3005091014577828E-3</v>
      </c>
      <c r="E238" s="63">
        <f t="shared" si="7"/>
        <v>-7.7613639342601542E-5</v>
      </c>
      <c r="F238" s="70"/>
    </row>
    <row r="239" spans="1:6">
      <c r="A239" s="61">
        <v>45978</v>
      </c>
      <c r="B239" s="62">
        <v>15.4664</v>
      </c>
      <c r="C239" s="57">
        <v>2794.32</v>
      </c>
      <c r="D239" s="63">
        <f t="shared" si="6"/>
        <v>4.6175737081834768E-4</v>
      </c>
      <c r="E239" s="63">
        <f t="shared" si="7"/>
        <v>3.7507679813740573E-4</v>
      </c>
      <c r="F239" s="70"/>
    </row>
    <row r="240" spans="1:6">
      <c r="A240" s="58">
        <v>45979</v>
      </c>
      <c r="B240" s="59">
        <v>15.477600000000001</v>
      </c>
      <c r="C240" s="57">
        <v>2795.99</v>
      </c>
      <c r="D240" s="63">
        <f t="shared" si="6"/>
        <v>5.9746241252326565E-4</v>
      </c>
      <c r="E240" s="63">
        <f t="shared" si="7"/>
        <v>7.2388834598514484E-4</v>
      </c>
      <c r="F240" s="70"/>
    </row>
    <row r="241" spans="1:6">
      <c r="A241" s="61">
        <v>45980</v>
      </c>
      <c r="B241" s="62">
        <v>15.4834</v>
      </c>
      <c r="C241" s="57">
        <v>2795.25</v>
      </c>
      <c r="D241" s="63">
        <f t="shared" si="6"/>
        <v>-2.646997819162084E-4</v>
      </c>
      <c r="E241" s="63">
        <f t="shared" si="7"/>
        <v>3.7466490538723174E-4</v>
      </c>
      <c r="F241" s="70"/>
    </row>
    <row r="242" spans="1:6">
      <c r="A242" s="58">
        <v>45981</v>
      </c>
      <c r="B242" s="59">
        <v>15.4832</v>
      </c>
      <c r="C242" s="57">
        <v>2800.8</v>
      </c>
      <c r="D242" s="63">
        <f t="shared" si="6"/>
        <v>1.983542612978487E-3</v>
      </c>
      <c r="E242" s="63">
        <f t="shared" si="7"/>
        <v>-1.2917142986456615E-5</v>
      </c>
      <c r="F242" s="70"/>
    </row>
    <row r="243" spans="1:6">
      <c r="A243" s="61">
        <v>45982</v>
      </c>
      <c r="B243" s="62">
        <v>15.4917</v>
      </c>
      <c r="C243" s="57">
        <v>2798.43</v>
      </c>
      <c r="D243" s="63">
        <f t="shared" si="6"/>
        <v>-8.4654502191780555E-4</v>
      </c>
      <c r="E243" s="63">
        <f t="shared" si="7"/>
        <v>5.4883148700145832E-4</v>
      </c>
      <c r="F243" s="70"/>
    </row>
    <row r="244" spans="1:6">
      <c r="A244" s="58">
        <v>45985</v>
      </c>
      <c r="B244" s="59">
        <v>15.4907</v>
      </c>
      <c r="C244" s="57">
        <v>2798.56</v>
      </c>
      <c r="D244" s="63">
        <f t="shared" si="6"/>
        <v>4.6453540214760394E-5</v>
      </c>
      <c r="E244" s="63">
        <f t="shared" si="7"/>
        <v>-6.4552778373965151E-5</v>
      </c>
      <c r="F244" s="70"/>
    </row>
    <row r="245" spans="1:6">
      <c r="A245" s="61">
        <v>45986</v>
      </c>
      <c r="B245" s="62">
        <v>15.502800000000001</v>
      </c>
      <c r="C245" s="57">
        <v>2796.03</v>
      </c>
      <c r="D245" s="63">
        <f t="shared" si="6"/>
        <v>-9.0444524888009148E-4</v>
      </c>
      <c r="E245" s="63">
        <f t="shared" si="7"/>
        <v>7.8080891895034629E-4</v>
      </c>
      <c r="F245" s="70"/>
    </row>
    <row r="246" spans="1:6">
      <c r="A246" s="58">
        <v>45987</v>
      </c>
      <c r="B246" s="59">
        <v>15.4992</v>
      </c>
      <c r="C246" s="57">
        <v>2798.89</v>
      </c>
      <c r="D246" s="63">
        <f t="shared" si="6"/>
        <v>1.0223560834144031E-3</v>
      </c>
      <c r="E246" s="63">
        <f t="shared" si="7"/>
        <v>-2.3224308213546697E-4</v>
      </c>
      <c r="F246" s="70"/>
    </row>
    <row r="247" spans="1:6">
      <c r="A247" s="61">
        <v>45988</v>
      </c>
      <c r="B247" s="62">
        <v>15.4991</v>
      </c>
      <c r="C247" s="57">
        <v>2804.32</v>
      </c>
      <c r="D247" s="63">
        <f t="shared" si="6"/>
        <v>1.9381753315784506E-3</v>
      </c>
      <c r="E247" s="63">
        <f t="shared" si="7"/>
        <v>-6.4519667207637787E-6</v>
      </c>
      <c r="F247" s="70"/>
    </row>
    <row r="248" spans="1:6">
      <c r="A248" s="58">
        <v>45989</v>
      </c>
      <c r="B248" s="59">
        <v>15.5017</v>
      </c>
      <c r="C248" s="57">
        <v>2804.12</v>
      </c>
      <c r="D248" s="63">
        <f t="shared" si="6"/>
        <v>-7.1321080402075531E-5</v>
      </c>
      <c r="E248" s="63">
        <f t="shared" si="7"/>
        <v>1.6773760716473461E-4</v>
      </c>
      <c r="F248" s="70"/>
    </row>
    <row r="249" spans="1:6">
      <c r="C249" s="11"/>
      <c r="D249" s="7"/>
      <c r="E249" s="7"/>
    </row>
    <row r="250" spans="1:6">
      <c r="D250" s="7"/>
      <c r="E250" s="7"/>
    </row>
  </sheetData>
  <sortState xmlns:xlrd2="http://schemas.microsoft.com/office/spreadsheetml/2017/richdata2" ref="A3:B250">
    <sortCondition ref="A2:A250"/>
  </sortState>
  <mergeCells count="5">
    <mergeCell ref="L2:M2"/>
    <mergeCell ref="L3:M3"/>
    <mergeCell ref="L4:M4"/>
    <mergeCell ref="L5:M5"/>
    <mergeCell ref="L6:M6"/>
  </mergeCells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B319-1A28-446D-AC02-7395DBC0AB4D}">
  <sheetPr>
    <tabColor theme="4" tint="0.39997558519241921"/>
  </sheetPr>
  <dimension ref="A1:R250"/>
  <sheetViews>
    <sheetView zoomScale="96" workbookViewId="0">
      <selection activeCell="P2" sqref="P1:R3"/>
    </sheetView>
  </sheetViews>
  <sheetFormatPr defaultRowHeight="14.4"/>
  <cols>
    <col min="1" max="1" width="14.77734375" bestFit="1" customWidth="1"/>
    <col min="2" max="2" width="8.33203125" bestFit="1" customWidth="1"/>
    <col min="3" max="3" width="15.44140625" customWidth="1"/>
    <col min="4" max="4" width="16.21875" customWidth="1"/>
    <col min="5" max="5" width="15.44140625" customWidth="1"/>
    <col min="6" max="6" width="12.44140625" customWidth="1"/>
    <col min="8" max="8" width="10" style="1" bestFit="1" customWidth="1"/>
    <col min="9" max="9" width="11.6640625" bestFit="1" customWidth="1"/>
    <col min="10" max="10" width="12.44140625" bestFit="1" customWidth="1"/>
    <col min="12" max="12" width="12.6640625" customWidth="1"/>
    <col min="13" max="13" width="10.5546875" customWidth="1"/>
    <col min="14" max="14" width="12.6640625" bestFit="1" customWidth="1"/>
    <col min="16" max="16" width="20.88671875" bestFit="1" customWidth="1"/>
    <col min="17" max="17" width="7.6640625" bestFit="1" customWidth="1"/>
    <col min="18" max="18" width="8.6640625" bestFit="1" customWidth="1"/>
  </cols>
  <sheetData>
    <row r="1" spans="1:18">
      <c r="A1" s="18" t="s">
        <v>0</v>
      </c>
      <c r="B1" s="19" t="s">
        <v>1</v>
      </c>
      <c r="C1" s="19" t="s">
        <v>38</v>
      </c>
      <c r="D1" s="19" t="s">
        <v>22</v>
      </c>
      <c r="E1" s="19" t="s">
        <v>2</v>
      </c>
      <c r="F1" s="67"/>
      <c r="G1" s="31"/>
      <c r="H1" s="39" t="s">
        <v>26</v>
      </c>
      <c r="I1" s="39" t="s">
        <v>2</v>
      </c>
      <c r="J1" s="39" t="s">
        <v>22</v>
      </c>
      <c r="P1" s="39"/>
      <c r="Q1" s="39" t="s">
        <v>23</v>
      </c>
      <c r="R1" s="39" t="s">
        <v>24</v>
      </c>
    </row>
    <row r="2" spans="1:18">
      <c r="A2" s="12">
        <v>45628</v>
      </c>
      <c r="B2" s="13">
        <v>70.489999999999995</v>
      </c>
      <c r="C2" s="16">
        <v>25198.15</v>
      </c>
      <c r="D2" s="16"/>
      <c r="E2" s="16"/>
      <c r="F2" s="68" t="s">
        <v>25</v>
      </c>
      <c r="G2" s="31"/>
      <c r="H2" s="16" t="s">
        <v>3</v>
      </c>
      <c r="I2" s="17">
        <f>(B22-$B$2)/$B$2</f>
        <v>-1.6456234926939945E-2</v>
      </c>
      <c r="J2" s="17">
        <f>(C22-$C$2)/$C$2</f>
        <v>-2.7882999347174382E-2</v>
      </c>
      <c r="L2" s="81" t="s">
        <v>15</v>
      </c>
      <c r="M2" s="81"/>
      <c r="N2" s="17">
        <f>(B248/B2)^(12/12)-1</f>
        <v>7.5613562207405227E-2</v>
      </c>
      <c r="P2" s="16" t="s">
        <v>18</v>
      </c>
      <c r="Q2" s="66">
        <f>AVERAGE(I2:I13)</f>
        <v>6.2774861682508946E-3</v>
      </c>
      <c r="R2" s="66">
        <f>AVERAGE(J2:J13)</f>
        <v>-5.6538542181338068E-3</v>
      </c>
    </row>
    <row r="3" spans="1:18">
      <c r="A3" s="14">
        <v>45629</v>
      </c>
      <c r="B3" s="15">
        <v>70.98</v>
      </c>
      <c r="C3" s="16">
        <v>25393.25</v>
      </c>
      <c r="D3" s="17">
        <f>LN(C3/C2)</f>
        <v>7.7128115516085591E-3</v>
      </c>
      <c r="E3" s="17">
        <f>LN(B3/B2)</f>
        <v>6.9272914325662583E-3</v>
      </c>
      <c r="F3" s="32">
        <f>SLOPE(E3:E250,D3:D250)</f>
        <v>0.82001956263139764</v>
      </c>
      <c r="G3" s="31"/>
      <c r="H3" s="16" t="s">
        <v>4</v>
      </c>
      <c r="I3" s="17">
        <f>(B45-$B$2)/$B$2</f>
        <v>-3.9721946375372359E-2</v>
      </c>
      <c r="J3" s="17">
        <f>(C45-$C$2)/$C$2</f>
        <v>-4.5427938162127007E-2</v>
      </c>
      <c r="L3" s="80" t="s">
        <v>16</v>
      </c>
      <c r="M3" s="80"/>
      <c r="N3" s="17">
        <f>_xlfn.STDEV.S(I2:I13)</f>
        <v>4.8761496958593928E-2</v>
      </c>
      <c r="P3" s="16" t="s">
        <v>19</v>
      </c>
      <c r="Q3" s="66">
        <v>0.06</v>
      </c>
      <c r="R3" s="16"/>
    </row>
    <row r="4" spans="1:18">
      <c r="A4" s="12">
        <v>45630</v>
      </c>
      <c r="B4" s="13">
        <v>71.209999999999994</v>
      </c>
      <c r="C4" s="16">
        <v>25428.400000000001</v>
      </c>
      <c r="D4" s="17">
        <f t="shared" ref="D4:D67" si="0">LN(C4/C3)</f>
        <v>1.3832689652840246E-3</v>
      </c>
      <c r="E4" s="17">
        <f t="shared" ref="E4:E67" si="1">LN(B4/B3)</f>
        <v>3.2351107756829183E-3</v>
      </c>
      <c r="F4" s="40"/>
      <c r="G4" s="31"/>
      <c r="H4" s="16" t="s">
        <v>5</v>
      </c>
      <c r="I4" s="17">
        <f>(B64-$B$2)/$B$2</f>
        <v>-9.7460632713860088E-2</v>
      </c>
      <c r="J4" s="17">
        <f>(C64-$C$2)/$C$2</f>
        <v>-8.9286316654198908E-2</v>
      </c>
      <c r="L4" s="80" t="s">
        <v>17</v>
      </c>
      <c r="M4" s="80"/>
      <c r="N4" s="64">
        <f>(Q2-Q3)/N3</f>
        <v>-1.1017404547150766</v>
      </c>
    </row>
    <row r="5" spans="1:18">
      <c r="A5" s="14">
        <v>45631</v>
      </c>
      <c r="B5" s="15">
        <v>71.88</v>
      </c>
      <c r="C5" s="16">
        <v>25657.85</v>
      </c>
      <c r="D5" s="17">
        <f t="shared" si="0"/>
        <v>8.9829080391841121E-3</v>
      </c>
      <c r="E5" s="17">
        <f t="shared" si="1"/>
        <v>9.3648039213249882E-3</v>
      </c>
      <c r="F5" s="40"/>
      <c r="G5" s="31"/>
      <c r="H5" s="16" t="s">
        <v>6</v>
      </c>
      <c r="I5" s="17">
        <f>(B84-$B$2)/$B$2</f>
        <v>-3.7168392679812604E-2</v>
      </c>
      <c r="J5" s="17">
        <f>(C84-$C$2)/$C$2</f>
        <v>-4.527316489504201E-2</v>
      </c>
      <c r="L5" s="80" t="s">
        <v>20</v>
      </c>
      <c r="M5" s="80"/>
      <c r="N5" s="65">
        <f>(Q2-Q3)/F3</f>
        <v>-6.5513697818813624E-2</v>
      </c>
    </row>
    <row r="6" spans="1:18">
      <c r="A6" s="12">
        <v>45632</v>
      </c>
      <c r="B6" s="13">
        <v>71.900000000000006</v>
      </c>
      <c r="C6" s="16">
        <v>25663.9</v>
      </c>
      <c r="D6" s="17">
        <f t="shared" si="0"/>
        <v>2.3576748758680644E-4</v>
      </c>
      <c r="E6" s="17">
        <f t="shared" si="1"/>
        <v>2.7820281164286036E-4</v>
      </c>
      <c r="F6" s="40"/>
      <c r="G6" s="31"/>
      <c r="H6" s="16" t="s">
        <v>7</v>
      </c>
      <c r="I6" s="17">
        <f>(B103-$B$2)/$B$2</f>
        <v>-3.4047382607461326E-3</v>
      </c>
      <c r="J6" s="17">
        <f>(C103-$C$2)/$C$2</f>
        <v>-1.406254030553839E-2</v>
      </c>
      <c r="L6" s="80" t="s">
        <v>21</v>
      </c>
      <c r="M6" s="80"/>
      <c r="N6" s="66">
        <f>Q2-(Q3+F3*(R2-Q3))</f>
        <v>1.149309892705154E-4</v>
      </c>
    </row>
    <row r="7" spans="1:18">
      <c r="A7" s="14">
        <v>45635</v>
      </c>
      <c r="B7" s="15">
        <v>71.760000000000005</v>
      </c>
      <c r="C7" s="16">
        <v>25594.2</v>
      </c>
      <c r="D7" s="17">
        <f t="shared" si="0"/>
        <v>-2.7195718514279768E-3</v>
      </c>
      <c r="E7" s="17">
        <f t="shared" si="1"/>
        <v>-1.9490469764603803E-3</v>
      </c>
      <c r="F7" s="40"/>
      <c r="G7" s="31"/>
      <c r="H7" s="16" t="s">
        <v>8</v>
      </c>
      <c r="I7" s="17">
        <f>(B124-$B$2)/$B$2</f>
        <v>1.744928358632436E-2</v>
      </c>
      <c r="J7" s="17">
        <f>(C124-$C$2)/$C$2</f>
        <v>5.7980446977257674E-3</v>
      </c>
    </row>
    <row r="8" spans="1:18">
      <c r="A8" s="12">
        <v>45636</v>
      </c>
      <c r="B8" s="13">
        <v>71.81</v>
      </c>
      <c r="C8" s="16">
        <v>25600.2</v>
      </c>
      <c r="D8" s="17">
        <f t="shared" si="0"/>
        <v>2.3440063864290511E-4</v>
      </c>
      <c r="E8" s="17">
        <f t="shared" si="1"/>
        <v>6.9652437168553002E-4</v>
      </c>
      <c r="F8" s="40"/>
      <c r="G8" s="31"/>
      <c r="H8" s="16" t="s">
        <v>9</v>
      </c>
      <c r="I8" s="17">
        <f>(B145-$B$2)/$B$2</f>
        <v>5.1354802099588662E-2</v>
      </c>
      <c r="J8" s="17">
        <f>(C145-$C$2)/$C$2</f>
        <v>3.7357901274498263E-2</v>
      </c>
      <c r="P8" s="3"/>
    </row>
    <row r="9" spans="1:18">
      <c r="A9" s="14">
        <v>45637</v>
      </c>
      <c r="B9" s="15">
        <v>71.83</v>
      </c>
      <c r="C9" s="16">
        <v>25635.05</v>
      </c>
      <c r="D9" s="17">
        <f t="shared" si="0"/>
        <v>1.3603917371201291E-3</v>
      </c>
      <c r="E9" s="17">
        <f t="shared" si="1"/>
        <v>2.7847396448391174E-4</v>
      </c>
      <c r="F9" s="40"/>
      <c r="G9" s="31"/>
      <c r="H9" s="16" t="s">
        <v>10</v>
      </c>
      <c r="I9" s="17">
        <f>(B168-$B$2)/$B$2</f>
        <v>2.9082139310540666E-2</v>
      </c>
      <c r="J9" s="17">
        <f>(C168-$C$2)/$C$2</f>
        <v>7.2366423725550699E-3</v>
      </c>
      <c r="P9" s="6"/>
    </row>
    <row r="10" spans="1:18">
      <c r="A10" s="12">
        <v>45638</v>
      </c>
      <c r="B10" s="13">
        <v>71.59</v>
      </c>
      <c r="C10" s="16">
        <v>25546.400000000001</v>
      </c>
      <c r="D10" s="17">
        <f t="shared" si="0"/>
        <v>-3.4641491654657749E-3</v>
      </c>
      <c r="E10" s="17">
        <f t="shared" si="1"/>
        <v>-3.346816678616507E-3</v>
      </c>
      <c r="F10" s="40"/>
      <c r="G10" s="31"/>
      <c r="H10" s="16" t="s">
        <v>11</v>
      </c>
      <c r="I10" s="17">
        <f>(B187-$B$2)/$B$2</f>
        <v>1.4044545325578226E-2</v>
      </c>
      <c r="J10" s="17">
        <f>(C187-$C$2)/$C$2</f>
        <v>-7.7426318995641417E-3</v>
      </c>
    </row>
    <row r="11" spans="1:18">
      <c r="A11" s="14">
        <v>45639</v>
      </c>
      <c r="B11" s="15">
        <v>72.11</v>
      </c>
      <c r="C11" s="16">
        <v>25724.6</v>
      </c>
      <c r="D11" s="17">
        <f t="shared" si="0"/>
        <v>6.9513259957978022E-3</v>
      </c>
      <c r="E11" s="17">
        <f t="shared" si="1"/>
        <v>7.2373315205743818E-3</v>
      </c>
      <c r="F11" s="40"/>
      <c r="G11" s="31"/>
      <c r="H11" s="16" t="s">
        <v>12</v>
      </c>
      <c r="I11" s="17">
        <f>(B209-$B$2)/$B$2</f>
        <v>2.0712157752872863E-2</v>
      </c>
      <c r="J11" s="17">
        <f>(C209-$C$2)/$C$2</f>
        <v>3.8494889505777206E-3</v>
      </c>
    </row>
    <row r="12" spans="1:18">
      <c r="A12" s="12">
        <v>45642</v>
      </c>
      <c r="B12" s="13">
        <v>71.959999999999994</v>
      </c>
      <c r="C12" s="16">
        <v>25652.85</v>
      </c>
      <c r="D12" s="17">
        <f t="shared" si="0"/>
        <v>-2.7930559669441957E-3</v>
      </c>
      <c r="E12" s="17">
        <f t="shared" si="1"/>
        <v>-2.0823218463359261E-3</v>
      </c>
      <c r="F12" s="40"/>
      <c r="G12" s="31"/>
      <c r="H12" s="16" t="s">
        <v>13</v>
      </c>
      <c r="I12" s="17">
        <f>(B229-$B$2)/$B$2</f>
        <v>6.1285288693431798E-2</v>
      </c>
      <c r="J12" s="17">
        <f>(C229-$C$2)/$C$2</f>
        <v>4.6485555487208327E-2</v>
      </c>
    </row>
    <row r="13" spans="1:18">
      <c r="A13" s="14">
        <v>45643</v>
      </c>
      <c r="B13" s="15">
        <v>71.22</v>
      </c>
      <c r="C13" s="16">
        <v>25321.65</v>
      </c>
      <c r="D13" s="17">
        <f t="shared" si="0"/>
        <v>-1.2994915525958007E-2</v>
      </c>
      <c r="E13" s="17">
        <f t="shared" si="1"/>
        <v>-1.0336731232700647E-2</v>
      </c>
      <c r="F13" s="40"/>
      <c r="G13" s="31"/>
      <c r="H13" s="16" t="s">
        <v>14</v>
      </c>
      <c r="I13" s="17">
        <f>(B248-$B$2)/$B$2</f>
        <v>7.5613562207405283E-2</v>
      </c>
      <c r="J13" s="17">
        <f>(C248-$C$2)/$C$2</f>
        <v>6.1101707863474013E-2</v>
      </c>
    </row>
    <row r="14" spans="1:18">
      <c r="A14" s="12">
        <v>45644</v>
      </c>
      <c r="B14" s="13">
        <v>70.849999999999994</v>
      </c>
      <c r="C14" s="16">
        <v>25137.599999999999</v>
      </c>
      <c r="D14" s="17">
        <f t="shared" si="0"/>
        <v>-7.2950278183534075E-3</v>
      </c>
      <c r="E14" s="17">
        <f t="shared" si="1"/>
        <v>-5.2087117129423219E-3</v>
      </c>
      <c r="F14" s="40"/>
      <c r="G14" s="31"/>
      <c r="H14" s="46"/>
      <c r="I14" s="31"/>
      <c r="J14" s="31"/>
    </row>
    <row r="15" spans="1:18">
      <c r="A15" s="14">
        <v>45645</v>
      </c>
      <c r="B15" s="15">
        <v>70.260000000000005</v>
      </c>
      <c r="C15" s="16">
        <v>24884.95</v>
      </c>
      <c r="D15" s="17">
        <f t="shared" si="0"/>
        <v>-1.0101530145212425E-2</v>
      </c>
      <c r="E15" s="17">
        <f t="shared" si="1"/>
        <v>-8.3623192990083008E-3</v>
      </c>
      <c r="F15" s="40"/>
      <c r="G15" s="31"/>
      <c r="H15" s="46"/>
      <c r="I15" s="31"/>
      <c r="J15" s="31"/>
    </row>
    <row r="16" spans="1:18">
      <c r="A16" s="12">
        <v>45646</v>
      </c>
      <c r="B16" s="13">
        <v>69.14</v>
      </c>
      <c r="C16" s="16">
        <v>24448.85</v>
      </c>
      <c r="D16" s="17">
        <f t="shared" si="0"/>
        <v>-1.76800230160979E-2</v>
      </c>
      <c r="E16" s="17">
        <f t="shared" si="1"/>
        <v>-1.6069212344202506E-2</v>
      </c>
      <c r="F16" s="40"/>
      <c r="G16" s="31"/>
      <c r="H16" s="46"/>
      <c r="I16" s="31"/>
      <c r="J16" s="31"/>
    </row>
    <row r="17" spans="1:10">
      <c r="A17" s="14">
        <v>45649</v>
      </c>
      <c r="B17" s="15">
        <v>69.52</v>
      </c>
      <c r="C17" s="16">
        <v>24599.75</v>
      </c>
      <c r="D17" s="17">
        <f t="shared" si="0"/>
        <v>6.1531002351658867E-3</v>
      </c>
      <c r="E17" s="17">
        <f t="shared" si="1"/>
        <v>5.4810464636580233E-3</v>
      </c>
      <c r="F17" s="40"/>
      <c r="G17" s="31"/>
      <c r="H17" s="46"/>
      <c r="I17" s="31"/>
      <c r="J17" s="31"/>
    </row>
    <row r="18" spans="1:10">
      <c r="A18" s="12">
        <v>45650</v>
      </c>
      <c r="B18" s="13">
        <v>69.47</v>
      </c>
      <c r="C18" s="16">
        <v>24572.5</v>
      </c>
      <c r="D18" s="17">
        <f t="shared" si="0"/>
        <v>-1.1083488264041633E-3</v>
      </c>
      <c r="E18" s="17">
        <f t="shared" si="1"/>
        <v>-7.1947625234704943E-4</v>
      </c>
      <c r="F18" s="40"/>
      <c r="G18" s="31"/>
      <c r="H18" s="46"/>
      <c r="I18" s="31"/>
      <c r="J18" s="31"/>
    </row>
    <row r="19" spans="1:10">
      <c r="A19" s="14">
        <v>45652</v>
      </c>
      <c r="B19" s="15">
        <v>69.61</v>
      </c>
      <c r="C19" s="16">
        <v>24611.35</v>
      </c>
      <c r="D19" s="17">
        <f t="shared" si="0"/>
        <v>1.5797871894906578E-3</v>
      </c>
      <c r="E19" s="17">
        <f t="shared" si="1"/>
        <v>2.0132304757856621E-3</v>
      </c>
      <c r="F19" s="40"/>
      <c r="G19" s="31"/>
      <c r="H19" s="46"/>
      <c r="I19" s="31"/>
      <c r="J19" s="31"/>
    </row>
    <row r="20" spans="1:10">
      <c r="A20" s="12">
        <v>45653</v>
      </c>
      <c r="B20" s="13">
        <v>69.7</v>
      </c>
      <c r="C20" s="16">
        <v>24632</v>
      </c>
      <c r="D20" s="17">
        <f t="shared" si="0"/>
        <v>8.3869197406116758E-4</v>
      </c>
      <c r="E20" s="17">
        <f t="shared" si="1"/>
        <v>1.2920825859032174E-3</v>
      </c>
      <c r="F20" s="40"/>
      <c r="G20" s="31"/>
      <c r="H20" s="46"/>
      <c r="I20" s="31"/>
      <c r="J20" s="31"/>
    </row>
    <row r="21" spans="1:10">
      <c r="A21" s="14">
        <v>45656</v>
      </c>
      <c r="B21" s="15">
        <v>69.38</v>
      </c>
      <c r="C21" s="16">
        <v>24500.75</v>
      </c>
      <c r="D21" s="17">
        <f t="shared" si="0"/>
        <v>-5.3426812951651512E-3</v>
      </c>
      <c r="E21" s="17">
        <f t="shared" si="1"/>
        <v>-4.6016762248747038E-3</v>
      </c>
      <c r="F21" s="40"/>
      <c r="G21" s="31"/>
      <c r="H21" s="46"/>
      <c r="I21" s="31"/>
      <c r="J21" s="31"/>
    </row>
    <row r="22" spans="1:10">
      <c r="A22" s="12">
        <v>45657</v>
      </c>
      <c r="B22" s="13">
        <v>69.33</v>
      </c>
      <c r="C22" s="16">
        <v>24495.55</v>
      </c>
      <c r="D22" s="17">
        <f t="shared" si="0"/>
        <v>-2.1226092662193882E-4</v>
      </c>
      <c r="E22" s="17">
        <f t="shared" si="1"/>
        <v>-7.2092858720455291E-4</v>
      </c>
      <c r="F22" s="40"/>
      <c r="G22" s="31"/>
      <c r="H22" s="46"/>
      <c r="I22" s="31"/>
      <c r="J22" s="31"/>
    </row>
    <row r="23" spans="1:10">
      <c r="A23" s="14">
        <v>45658</v>
      </c>
      <c r="B23" s="15">
        <v>69.62</v>
      </c>
      <c r="C23" s="16">
        <v>24595.7</v>
      </c>
      <c r="D23" s="17">
        <f t="shared" si="0"/>
        <v>4.0801625112055649E-3</v>
      </c>
      <c r="E23" s="17">
        <f t="shared" si="1"/>
        <v>4.1741694288938494E-3</v>
      </c>
      <c r="F23" s="40"/>
      <c r="G23" s="31"/>
      <c r="H23" s="46"/>
      <c r="I23" s="31"/>
      <c r="J23" s="31"/>
    </row>
    <row r="24" spans="1:10">
      <c r="A24" s="12">
        <v>45659</v>
      </c>
      <c r="B24" s="13">
        <v>70.78</v>
      </c>
      <c r="C24" s="16">
        <v>25028.799999999999</v>
      </c>
      <c r="D24" s="17">
        <f t="shared" si="0"/>
        <v>1.7455530913751065E-2</v>
      </c>
      <c r="E24" s="17">
        <f t="shared" si="1"/>
        <v>1.652459253402443E-2</v>
      </c>
      <c r="F24" s="40"/>
      <c r="G24" s="31"/>
      <c r="H24" s="46"/>
      <c r="I24" s="31"/>
      <c r="J24" s="31"/>
    </row>
    <row r="25" spans="1:10">
      <c r="A25" s="14">
        <v>45660</v>
      </c>
      <c r="B25" s="15">
        <v>70.28</v>
      </c>
      <c r="C25" s="16">
        <v>24879.85</v>
      </c>
      <c r="D25" s="17">
        <f t="shared" si="0"/>
        <v>-5.9689229114710382E-3</v>
      </c>
      <c r="E25" s="17">
        <f t="shared" si="1"/>
        <v>-7.0892115984208717E-3</v>
      </c>
      <c r="F25" s="40"/>
      <c r="G25" s="31"/>
      <c r="H25" s="46"/>
      <c r="I25" s="31"/>
      <c r="J25" s="31"/>
    </row>
    <row r="26" spans="1:10">
      <c r="A26" s="12">
        <v>45663</v>
      </c>
      <c r="B26" s="13">
        <v>69.17</v>
      </c>
      <c r="C26" s="16">
        <v>24404.6</v>
      </c>
      <c r="D26" s="17">
        <f t="shared" si="0"/>
        <v>-1.9286599793105083E-2</v>
      </c>
      <c r="E26" s="17">
        <f t="shared" si="1"/>
        <v>-1.5920020706403092E-2</v>
      </c>
      <c r="F26" s="40"/>
      <c r="G26" s="31"/>
      <c r="H26" s="46"/>
      <c r="I26" s="31"/>
      <c r="J26" s="31"/>
    </row>
    <row r="27" spans="1:10">
      <c r="A27" s="14">
        <v>45664</v>
      </c>
      <c r="B27" s="15">
        <v>69.36</v>
      </c>
      <c r="C27" s="16">
        <v>24478.1</v>
      </c>
      <c r="D27" s="17">
        <f t="shared" si="0"/>
        <v>3.0072011320957416E-3</v>
      </c>
      <c r="E27" s="17">
        <f t="shared" si="1"/>
        <v>2.7430898597929679E-3</v>
      </c>
      <c r="F27" s="40"/>
      <c r="G27" s="31"/>
      <c r="H27" s="46"/>
      <c r="I27" s="31"/>
      <c r="J27" s="31"/>
    </row>
    <row r="28" spans="1:10">
      <c r="A28" s="12">
        <v>45665</v>
      </c>
      <c r="B28" s="13">
        <v>69.05</v>
      </c>
      <c r="C28" s="16">
        <v>24426</v>
      </c>
      <c r="D28" s="17">
        <f t="shared" si="0"/>
        <v>-2.1307015039916913E-3</v>
      </c>
      <c r="E28" s="17">
        <f t="shared" si="1"/>
        <v>-4.4794526169852911E-3</v>
      </c>
      <c r="F28" s="40"/>
      <c r="G28" s="31"/>
      <c r="H28" s="46"/>
      <c r="I28" s="31"/>
      <c r="J28" s="31"/>
    </row>
    <row r="29" spans="1:10">
      <c r="A29" s="14">
        <v>45666</v>
      </c>
      <c r="B29" s="15">
        <v>68.680000000000007</v>
      </c>
      <c r="C29" s="16">
        <v>24232.3</v>
      </c>
      <c r="D29" s="17">
        <f t="shared" si="0"/>
        <v>-7.961684777057056E-3</v>
      </c>
      <c r="E29" s="17">
        <f t="shared" si="1"/>
        <v>-5.3728438260261585E-3</v>
      </c>
      <c r="F29" s="40"/>
      <c r="G29" s="31"/>
      <c r="H29" s="46"/>
      <c r="I29" s="31"/>
      <c r="J29" s="31"/>
    </row>
    <row r="30" spans="1:10">
      <c r="A30" s="12">
        <v>45667</v>
      </c>
      <c r="B30" s="13">
        <v>68.150000000000006</v>
      </c>
      <c r="C30" s="16">
        <v>24064.75</v>
      </c>
      <c r="D30" s="17">
        <f t="shared" si="0"/>
        <v>-6.9383398017898697E-3</v>
      </c>
      <c r="E30" s="17">
        <f t="shared" si="1"/>
        <v>-7.7468778867331878E-3</v>
      </c>
      <c r="F30" s="40"/>
      <c r="G30" s="31"/>
      <c r="H30" s="46"/>
      <c r="I30" s="31"/>
      <c r="J30" s="31"/>
    </row>
    <row r="31" spans="1:10">
      <c r="A31" s="14">
        <v>45670</v>
      </c>
      <c r="B31" s="15">
        <v>66.83</v>
      </c>
      <c r="C31" s="16">
        <v>23586.799999999999</v>
      </c>
      <c r="D31" s="17">
        <f t="shared" si="0"/>
        <v>-2.0060880651303403E-2</v>
      </c>
      <c r="E31" s="17">
        <f t="shared" si="1"/>
        <v>-1.9559076619562944E-2</v>
      </c>
      <c r="F31" s="40"/>
      <c r="G31" s="31"/>
      <c r="H31" s="46"/>
      <c r="I31" s="31"/>
      <c r="J31" s="31"/>
    </row>
    <row r="32" spans="1:10">
      <c r="A32" s="12">
        <v>45671</v>
      </c>
      <c r="B32" s="13">
        <v>67.17</v>
      </c>
      <c r="C32" s="16">
        <v>23770.6</v>
      </c>
      <c r="D32" s="17">
        <f t="shared" si="0"/>
        <v>7.7622894363410973E-3</v>
      </c>
      <c r="E32" s="17">
        <f t="shared" si="1"/>
        <v>5.0746377557943784E-3</v>
      </c>
      <c r="F32" s="40"/>
      <c r="G32" s="31"/>
      <c r="H32" s="46"/>
      <c r="I32" s="31"/>
      <c r="J32" s="31"/>
    </row>
    <row r="33" spans="1:10">
      <c r="A33" s="14">
        <v>45672</v>
      </c>
      <c r="B33" s="15">
        <v>67.239999999999995</v>
      </c>
      <c r="C33" s="16">
        <v>23839.25</v>
      </c>
      <c r="D33" s="17">
        <f t="shared" si="0"/>
        <v>2.8838590156499261E-3</v>
      </c>
      <c r="E33" s="17">
        <f t="shared" si="1"/>
        <v>1.0415892616416763E-3</v>
      </c>
      <c r="F33" s="40"/>
      <c r="G33" s="31"/>
      <c r="H33" s="46"/>
      <c r="I33" s="31"/>
      <c r="J33" s="31"/>
    </row>
    <row r="34" spans="1:10">
      <c r="A34" s="12">
        <v>45673</v>
      </c>
      <c r="B34" s="13">
        <v>67.55</v>
      </c>
      <c r="C34" s="16">
        <v>23984.55</v>
      </c>
      <c r="D34" s="17">
        <f t="shared" si="0"/>
        <v>6.0764910812074295E-3</v>
      </c>
      <c r="E34" s="17">
        <f t="shared" si="1"/>
        <v>4.5997558657931165E-3</v>
      </c>
      <c r="F34" s="40"/>
      <c r="G34" s="31"/>
      <c r="H34" s="46"/>
      <c r="I34" s="31"/>
      <c r="J34" s="31"/>
    </row>
    <row r="35" spans="1:10">
      <c r="A35" s="14">
        <v>45674</v>
      </c>
      <c r="B35" s="15">
        <v>67.36</v>
      </c>
      <c r="C35" s="16">
        <v>23926</v>
      </c>
      <c r="D35" s="17">
        <f t="shared" si="0"/>
        <v>-2.4441393032325542E-3</v>
      </c>
      <c r="E35" s="17">
        <f t="shared" si="1"/>
        <v>-2.8166944721365324E-3</v>
      </c>
      <c r="F35" s="40"/>
      <c r="G35" s="31"/>
      <c r="H35" s="46"/>
      <c r="I35" s="31"/>
      <c r="J35" s="31"/>
    </row>
    <row r="36" spans="1:10">
      <c r="A36" s="12">
        <v>45677</v>
      </c>
      <c r="B36" s="13">
        <v>67.66</v>
      </c>
      <c r="C36" s="16">
        <v>24048.799999999999</v>
      </c>
      <c r="D36" s="17">
        <f t="shared" si="0"/>
        <v>5.1193655083122472E-3</v>
      </c>
      <c r="E36" s="17">
        <f t="shared" si="1"/>
        <v>4.4437934184910063E-3</v>
      </c>
      <c r="F36" s="40"/>
      <c r="G36" s="31"/>
      <c r="H36" s="46"/>
      <c r="I36" s="31"/>
      <c r="J36" s="31"/>
    </row>
    <row r="37" spans="1:10">
      <c r="A37" s="14">
        <v>45678</v>
      </c>
      <c r="B37" s="15">
        <v>66.47</v>
      </c>
      <c r="C37" s="16">
        <v>23664.75</v>
      </c>
      <c r="D37" s="17">
        <f t="shared" si="0"/>
        <v>-1.6098500078848374E-2</v>
      </c>
      <c r="E37" s="17">
        <f t="shared" si="1"/>
        <v>-1.7744445299071956E-2</v>
      </c>
      <c r="F37" s="40"/>
      <c r="G37" s="31"/>
      <c r="H37" s="46"/>
      <c r="I37" s="31"/>
      <c r="J37" s="31"/>
    </row>
    <row r="38" spans="1:10">
      <c r="A38" s="12">
        <v>45679</v>
      </c>
      <c r="B38" s="13">
        <v>66.62</v>
      </c>
      <c r="C38" s="16">
        <v>23738.400000000001</v>
      </c>
      <c r="D38" s="17">
        <f t="shared" si="0"/>
        <v>3.1073909334271644E-3</v>
      </c>
      <c r="E38" s="17">
        <f t="shared" si="1"/>
        <v>2.2541147120432995E-3</v>
      </c>
      <c r="F38" s="40"/>
      <c r="G38" s="31"/>
      <c r="H38" s="46"/>
      <c r="I38" s="31"/>
      <c r="J38" s="31"/>
    </row>
    <row r="39" spans="1:10">
      <c r="A39" s="14">
        <v>45680</v>
      </c>
      <c r="B39" s="15">
        <v>67.03</v>
      </c>
      <c r="C39" s="16">
        <v>23823.25</v>
      </c>
      <c r="D39" s="17">
        <f t="shared" si="0"/>
        <v>3.56800447487947E-3</v>
      </c>
      <c r="E39" s="17">
        <f t="shared" si="1"/>
        <v>6.1354476043325862E-3</v>
      </c>
      <c r="F39" s="40"/>
      <c r="G39" s="31"/>
      <c r="H39" s="46"/>
      <c r="I39" s="31"/>
      <c r="J39" s="31"/>
    </row>
    <row r="40" spans="1:10">
      <c r="A40" s="12">
        <v>45681</v>
      </c>
      <c r="B40" s="13">
        <v>66.540000000000006</v>
      </c>
      <c r="C40" s="16">
        <v>23660.2</v>
      </c>
      <c r="D40" s="17">
        <f t="shared" si="0"/>
        <v>-6.8676829865933755E-3</v>
      </c>
      <c r="E40" s="17">
        <f t="shared" si="1"/>
        <v>-7.3370097795355952E-3</v>
      </c>
      <c r="F40" s="40"/>
      <c r="G40" s="31"/>
      <c r="H40" s="46"/>
      <c r="I40" s="31"/>
      <c r="J40" s="31"/>
    </row>
    <row r="41" spans="1:10">
      <c r="A41" s="14">
        <v>45684</v>
      </c>
      <c r="B41" s="15">
        <v>65.64</v>
      </c>
      <c r="C41" s="16">
        <v>23319.95</v>
      </c>
      <c r="D41" s="17">
        <f t="shared" si="0"/>
        <v>-1.4485094202229418E-2</v>
      </c>
      <c r="E41" s="17">
        <f t="shared" si="1"/>
        <v>-1.3618004368440633E-2</v>
      </c>
      <c r="F41" s="40"/>
      <c r="G41" s="31"/>
      <c r="H41" s="46"/>
      <c r="I41" s="31"/>
      <c r="J41" s="31"/>
    </row>
    <row r="42" spans="1:10">
      <c r="A42" s="12">
        <v>45685</v>
      </c>
      <c r="B42" s="13">
        <v>65.95</v>
      </c>
      <c r="C42" s="16">
        <v>23440.05</v>
      </c>
      <c r="D42" s="17">
        <f t="shared" si="0"/>
        <v>5.1368804146785614E-3</v>
      </c>
      <c r="E42" s="17">
        <f t="shared" si="1"/>
        <v>4.7116129414334273E-3</v>
      </c>
      <c r="F42" s="40"/>
      <c r="G42" s="31"/>
      <c r="H42" s="46"/>
      <c r="I42" s="31"/>
      <c r="J42" s="31"/>
    </row>
    <row r="43" spans="1:10">
      <c r="A43" s="14">
        <v>45686</v>
      </c>
      <c r="B43" s="15">
        <v>66.75</v>
      </c>
      <c r="C43" s="16">
        <v>23696.25</v>
      </c>
      <c r="D43" s="17">
        <f t="shared" si="0"/>
        <v>1.0870709961298826E-2</v>
      </c>
      <c r="E43" s="17">
        <f t="shared" si="1"/>
        <v>1.2057418117035298E-2</v>
      </c>
      <c r="F43" s="40"/>
      <c r="G43" s="31"/>
      <c r="H43" s="46"/>
      <c r="I43" s="31"/>
      <c r="J43" s="31"/>
    </row>
    <row r="44" spans="1:10">
      <c r="A44" s="12">
        <v>45687</v>
      </c>
      <c r="B44" s="13">
        <v>67.02</v>
      </c>
      <c r="C44" s="16">
        <v>23772.5</v>
      </c>
      <c r="D44" s="17">
        <f t="shared" si="0"/>
        <v>3.2126426578245777E-3</v>
      </c>
      <c r="E44" s="17">
        <f t="shared" si="1"/>
        <v>4.03678502880529E-3</v>
      </c>
      <c r="F44" s="40"/>
      <c r="G44" s="31"/>
      <c r="H44" s="46"/>
      <c r="I44" s="31"/>
      <c r="J44" s="31"/>
    </row>
    <row r="45" spans="1:10">
      <c r="A45" s="14">
        <v>45688</v>
      </c>
      <c r="B45" s="15">
        <v>67.69</v>
      </c>
      <c r="C45" s="16">
        <v>24053.45</v>
      </c>
      <c r="D45" s="17">
        <f t="shared" si="0"/>
        <v>1.1748986975627608E-2</v>
      </c>
      <c r="E45" s="17">
        <f t="shared" si="1"/>
        <v>9.9473762113520478E-3</v>
      </c>
      <c r="F45" s="40"/>
      <c r="G45" s="31"/>
      <c r="H45" s="46"/>
      <c r="I45" s="31"/>
      <c r="J45" s="31"/>
    </row>
    <row r="46" spans="1:10">
      <c r="A46" s="12">
        <v>45691</v>
      </c>
      <c r="B46" s="13">
        <v>67.73</v>
      </c>
      <c r="C46" s="16">
        <v>24056.65</v>
      </c>
      <c r="D46" s="17">
        <f t="shared" si="0"/>
        <v>1.3302820009596935E-4</v>
      </c>
      <c r="E46" s="17">
        <f t="shared" si="1"/>
        <v>5.9075470629611922E-4</v>
      </c>
      <c r="F46" s="40"/>
      <c r="G46" s="31"/>
      <c r="H46" s="46"/>
      <c r="I46" s="31"/>
      <c r="J46" s="31"/>
    </row>
    <row r="47" spans="1:10">
      <c r="A47" s="14">
        <v>45692</v>
      </c>
      <c r="B47" s="15">
        <v>68.709999999999994</v>
      </c>
      <c r="C47" s="16">
        <v>23896.15</v>
      </c>
      <c r="D47" s="17">
        <f t="shared" si="0"/>
        <v>-6.6941075118736124E-3</v>
      </c>
      <c r="E47" s="17">
        <f t="shared" si="1"/>
        <v>1.4365535816172066E-2</v>
      </c>
      <c r="F47" s="40"/>
      <c r="G47" s="31"/>
      <c r="H47" s="46"/>
      <c r="I47" s="31"/>
      <c r="J47" s="31"/>
    </row>
    <row r="48" spans="1:10">
      <c r="A48" s="12">
        <v>45693</v>
      </c>
      <c r="B48" s="13">
        <v>68.599999999999994</v>
      </c>
      <c r="C48" s="16">
        <v>24279.65</v>
      </c>
      <c r="D48" s="17">
        <f t="shared" si="0"/>
        <v>1.5921192835578281E-2</v>
      </c>
      <c r="E48" s="17">
        <f t="shared" si="1"/>
        <v>-1.6022143111450251E-3</v>
      </c>
      <c r="F48" s="40"/>
      <c r="G48" s="31"/>
      <c r="H48" s="46"/>
      <c r="I48" s="31"/>
      <c r="J48" s="31"/>
    </row>
    <row r="49" spans="1:10">
      <c r="A49" s="14">
        <v>45694</v>
      </c>
      <c r="B49" s="15">
        <v>68.22</v>
      </c>
      <c r="C49" s="16">
        <v>24271.35</v>
      </c>
      <c r="D49" s="17">
        <f t="shared" si="0"/>
        <v>-3.4190851190948229E-4</v>
      </c>
      <c r="E49" s="17">
        <f t="shared" si="1"/>
        <v>-5.5547577413398554E-3</v>
      </c>
      <c r="F49" s="40"/>
      <c r="G49" s="31"/>
      <c r="H49" s="46"/>
      <c r="I49" s="31"/>
      <c r="J49" s="31"/>
    </row>
    <row r="50" spans="1:10">
      <c r="A50" s="12">
        <v>45695</v>
      </c>
      <c r="B50" s="13">
        <v>68.25</v>
      </c>
      <c r="C50" s="16">
        <v>24161</v>
      </c>
      <c r="D50" s="17">
        <f t="shared" si="0"/>
        <v>-4.5568794804628394E-3</v>
      </c>
      <c r="E50" s="17">
        <f t="shared" si="1"/>
        <v>4.3965707456950344E-4</v>
      </c>
      <c r="F50" s="40"/>
      <c r="G50" s="31"/>
      <c r="H50" s="46"/>
      <c r="I50" s="31"/>
      <c r="J50" s="31"/>
    </row>
    <row r="51" spans="1:10">
      <c r="A51" s="14">
        <v>45698</v>
      </c>
      <c r="B51" s="15">
        <v>67.63</v>
      </c>
      <c r="C51" s="16">
        <v>24125.5</v>
      </c>
      <c r="D51" s="17">
        <f t="shared" si="0"/>
        <v>-1.4703905396357467E-3</v>
      </c>
      <c r="E51" s="17">
        <f t="shared" si="1"/>
        <v>-9.1257624782205438E-3</v>
      </c>
      <c r="F51" s="40"/>
      <c r="G51" s="31"/>
      <c r="H51" s="46"/>
      <c r="I51" s="31"/>
      <c r="J51" s="31"/>
    </row>
    <row r="52" spans="1:10">
      <c r="A52" s="12">
        <v>45699</v>
      </c>
      <c r="B52" s="13">
        <v>66.59</v>
      </c>
      <c r="C52" s="16">
        <v>23897</v>
      </c>
      <c r="D52" s="17">
        <f t="shared" si="0"/>
        <v>-9.5164443526426952E-3</v>
      </c>
      <c r="E52" s="17">
        <f t="shared" si="1"/>
        <v>-1.5497255464317499E-2</v>
      </c>
      <c r="F52" s="40"/>
      <c r="G52" s="31"/>
      <c r="H52" s="46"/>
      <c r="I52" s="31"/>
      <c r="J52" s="31"/>
    </row>
    <row r="53" spans="1:10">
      <c r="A53" s="14">
        <v>45700</v>
      </c>
      <c r="B53" s="15">
        <v>66.55</v>
      </c>
      <c r="C53" s="16">
        <v>23530.799999999999</v>
      </c>
      <c r="D53" s="17">
        <f t="shared" si="0"/>
        <v>-1.5442726734905737E-2</v>
      </c>
      <c r="E53" s="17">
        <f t="shared" si="1"/>
        <v>-6.0087128141050059E-4</v>
      </c>
      <c r="F53" s="40"/>
      <c r="G53" s="31"/>
      <c r="H53" s="46"/>
      <c r="I53" s="31"/>
      <c r="J53" s="31"/>
    </row>
    <row r="54" spans="1:10">
      <c r="A54" s="12">
        <v>45701</v>
      </c>
      <c r="B54" s="13">
        <v>66.569999999999993</v>
      </c>
      <c r="C54" s="16">
        <v>23508.35</v>
      </c>
      <c r="D54" s="17">
        <f t="shared" si="0"/>
        <v>-9.545241231845589E-4</v>
      </c>
      <c r="E54" s="17">
        <f t="shared" si="1"/>
        <v>3.0048077149153428E-4</v>
      </c>
      <c r="F54" s="40"/>
      <c r="G54" s="31"/>
      <c r="H54" s="46"/>
      <c r="I54" s="31"/>
      <c r="J54" s="31"/>
    </row>
    <row r="55" spans="1:10">
      <c r="A55" s="14">
        <v>45702</v>
      </c>
      <c r="B55" s="15">
        <v>65.989999999999995</v>
      </c>
      <c r="C55" s="16">
        <v>23504.85</v>
      </c>
      <c r="D55" s="17">
        <f t="shared" si="0"/>
        <v>-1.4889435335041024E-4</v>
      </c>
      <c r="E55" s="17">
        <f t="shared" si="1"/>
        <v>-8.7508102172819489E-3</v>
      </c>
      <c r="F55" s="40"/>
      <c r="G55" s="31"/>
      <c r="H55" s="46"/>
      <c r="I55" s="31"/>
      <c r="J55" s="31"/>
    </row>
    <row r="56" spans="1:10">
      <c r="A56" s="12">
        <v>45705</v>
      </c>
      <c r="B56" s="13">
        <v>65.95</v>
      </c>
      <c r="C56" s="16">
        <v>23325.15</v>
      </c>
      <c r="D56" s="17">
        <f t="shared" si="0"/>
        <v>-7.6746052539025484E-3</v>
      </c>
      <c r="E56" s="17">
        <f t="shared" si="1"/>
        <v>-6.0633623200655792E-4</v>
      </c>
      <c r="F56" s="40"/>
      <c r="G56" s="31"/>
      <c r="H56" s="46"/>
      <c r="I56" s="31"/>
      <c r="J56" s="31"/>
    </row>
    <row r="57" spans="1:10">
      <c r="A57" s="14">
        <v>45706</v>
      </c>
      <c r="B57" s="15">
        <v>65.959999999999994</v>
      </c>
      <c r="C57" s="16">
        <v>23343.15</v>
      </c>
      <c r="D57" s="17">
        <f t="shared" si="0"/>
        <v>7.7140161062601244E-4</v>
      </c>
      <c r="E57" s="17">
        <f t="shared" si="1"/>
        <v>1.5161852807447579E-4</v>
      </c>
      <c r="F57" s="40"/>
      <c r="G57" s="31"/>
      <c r="H57" s="46"/>
      <c r="I57" s="31"/>
      <c r="J57" s="31"/>
    </row>
    <row r="58" spans="1:10">
      <c r="A58" s="12">
        <v>45707</v>
      </c>
      <c r="B58" s="13">
        <v>66.09</v>
      </c>
      <c r="C58" s="16">
        <v>23331.4</v>
      </c>
      <c r="D58" s="17">
        <f t="shared" si="0"/>
        <v>-5.034863859733655E-4</v>
      </c>
      <c r="E58" s="17">
        <f t="shared" si="1"/>
        <v>1.9689517909635083E-3</v>
      </c>
      <c r="F58" s="40"/>
      <c r="G58" s="31"/>
      <c r="H58" s="46"/>
      <c r="I58" s="31"/>
      <c r="J58" s="31"/>
    </row>
    <row r="59" spans="1:10">
      <c r="A59" s="14">
        <v>45708</v>
      </c>
      <c r="B59" s="15">
        <v>66.13</v>
      </c>
      <c r="C59" s="16">
        <v>23368.55</v>
      </c>
      <c r="D59" s="17">
        <f t="shared" si="0"/>
        <v>1.5910084630286149E-3</v>
      </c>
      <c r="E59" s="17">
        <f t="shared" si="1"/>
        <v>6.0505220420948398E-4</v>
      </c>
      <c r="F59" s="40"/>
      <c r="G59" s="31"/>
      <c r="H59" s="46"/>
      <c r="I59" s="31"/>
      <c r="J59" s="31"/>
    </row>
    <row r="60" spans="1:10">
      <c r="A60" s="12">
        <v>45709</v>
      </c>
      <c r="B60" s="13">
        <v>65.680000000000007</v>
      </c>
      <c r="C60" s="16">
        <v>23411.4</v>
      </c>
      <c r="D60" s="17">
        <f t="shared" si="0"/>
        <v>1.8319819488597973E-3</v>
      </c>
      <c r="E60" s="17">
        <f t="shared" si="1"/>
        <v>-6.8280365423980275E-3</v>
      </c>
      <c r="F60" s="40"/>
      <c r="G60" s="31"/>
      <c r="H60" s="46"/>
      <c r="I60" s="31"/>
      <c r="J60" s="31"/>
    </row>
    <row r="61" spans="1:10">
      <c r="A61" s="14">
        <v>45712</v>
      </c>
      <c r="B61" s="15">
        <v>65.12</v>
      </c>
      <c r="C61" s="16">
        <v>23274.05</v>
      </c>
      <c r="D61" s="17">
        <f t="shared" si="0"/>
        <v>-5.884077213846651E-3</v>
      </c>
      <c r="E61" s="17">
        <f t="shared" si="1"/>
        <v>-8.5627434498879145E-3</v>
      </c>
      <c r="F61" s="40"/>
      <c r="G61" s="31"/>
      <c r="H61" s="46"/>
      <c r="I61" s="31"/>
      <c r="J61" s="31"/>
    </row>
    <row r="62" spans="1:10">
      <c r="A62" s="12">
        <v>45713</v>
      </c>
      <c r="B62" s="13">
        <v>65.13</v>
      </c>
      <c r="C62" s="16">
        <v>23021.7</v>
      </c>
      <c r="D62" s="17">
        <f t="shared" si="0"/>
        <v>-1.0901756609438115E-2</v>
      </c>
      <c r="E62" s="17">
        <f t="shared" si="1"/>
        <v>1.5355086402513295E-4</v>
      </c>
      <c r="F62" s="40"/>
      <c r="G62" s="31"/>
      <c r="H62" s="46"/>
      <c r="I62" s="31"/>
      <c r="J62" s="31"/>
    </row>
    <row r="63" spans="1:10">
      <c r="A63" s="14">
        <v>45715</v>
      </c>
      <c r="B63" s="15">
        <v>64.91</v>
      </c>
      <c r="C63" s="16">
        <v>22987.15</v>
      </c>
      <c r="D63" s="17">
        <f t="shared" si="0"/>
        <v>-1.5018852457480329E-3</v>
      </c>
      <c r="E63" s="17">
        <f t="shared" si="1"/>
        <v>-3.3835775129329548E-3</v>
      </c>
      <c r="F63" s="40"/>
      <c r="G63" s="31"/>
      <c r="H63" s="46"/>
      <c r="I63" s="31"/>
      <c r="J63" s="31"/>
    </row>
    <row r="64" spans="1:10">
      <c r="A64" s="12">
        <v>45716</v>
      </c>
      <c r="B64" s="13">
        <v>63.62</v>
      </c>
      <c r="C64" s="16">
        <v>22948.3</v>
      </c>
      <c r="D64" s="17">
        <f t="shared" si="0"/>
        <v>-1.6915044595446648E-3</v>
      </c>
      <c r="E64" s="17">
        <f t="shared" si="1"/>
        <v>-2.0073808724379128E-2</v>
      </c>
      <c r="F64" s="40"/>
      <c r="G64" s="31"/>
      <c r="H64" s="46"/>
      <c r="I64" s="31"/>
      <c r="J64" s="31"/>
    </row>
    <row r="65" spans="1:10">
      <c r="A65" s="14">
        <v>45719</v>
      </c>
      <c r="B65" s="15">
        <v>63.81</v>
      </c>
      <c r="C65" s="16">
        <v>22479.45</v>
      </c>
      <c r="D65" s="17">
        <f t="shared" si="0"/>
        <v>-2.0642301154842928E-2</v>
      </c>
      <c r="E65" s="17">
        <f t="shared" si="1"/>
        <v>2.9820315592575179E-3</v>
      </c>
      <c r="F65" s="40"/>
      <c r="G65" s="31"/>
      <c r="H65" s="46"/>
      <c r="I65" s="31"/>
      <c r="J65" s="31"/>
    </row>
    <row r="66" spans="1:10">
      <c r="A66" s="12">
        <v>45720</v>
      </c>
      <c r="B66" s="13">
        <v>63.87</v>
      </c>
      <c r="C66" s="16">
        <v>22514.2</v>
      </c>
      <c r="D66" s="17">
        <f t="shared" si="0"/>
        <v>1.5446627206020514E-3</v>
      </c>
      <c r="E66" s="17">
        <f t="shared" si="1"/>
        <v>9.3984969324227867E-4</v>
      </c>
      <c r="F66" s="40"/>
      <c r="G66" s="31"/>
      <c r="H66" s="46"/>
      <c r="I66" s="31"/>
      <c r="J66" s="31"/>
    </row>
    <row r="67" spans="1:10">
      <c r="A67" s="14">
        <v>45721</v>
      </c>
      <c r="B67" s="15">
        <v>64.599999999999994</v>
      </c>
      <c r="C67" s="16">
        <v>22504.9</v>
      </c>
      <c r="D67" s="17">
        <f t="shared" si="0"/>
        <v>-4.1315797660507203E-4</v>
      </c>
      <c r="E67" s="17">
        <f t="shared" si="1"/>
        <v>1.1364643215058257E-2</v>
      </c>
      <c r="F67" s="40"/>
      <c r="G67" s="31"/>
      <c r="H67" s="46"/>
      <c r="I67" s="31"/>
      <c r="J67" s="31"/>
    </row>
    <row r="68" spans="1:10">
      <c r="A68" s="12">
        <v>45722</v>
      </c>
      <c r="B68" s="13">
        <v>65.069999999999993</v>
      </c>
      <c r="C68" s="16">
        <v>22818.799999999999</v>
      </c>
      <c r="D68" s="17">
        <f t="shared" ref="D68:D131" si="2">LN(C68/C67)</f>
        <v>1.3851694321893397E-2</v>
      </c>
      <c r="E68" s="17">
        <f t="shared" ref="E68:E131" si="3">LN(B68/B67)</f>
        <v>7.2492027183364872E-3</v>
      </c>
      <c r="F68" s="40"/>
      <c r="G68" s="31"/>
      <c r="H68" s="46"/>
      <c r="I68" s="31"/>
      <c r="J68" s="31"/>
    </row>
    <row r="69" spans="1:10">
      <c r="A69" s="14">
        <v>45723</v>
      </c>
      <c r="B69" s="15">
        <v>64.959999999999994</v>
      </c>
      <c r="C69" s="16">
        <v>23038.799999999999</v>
      </c>
      <c r="D69" s="17">
        <f t="shared" si="2"/>
        <v>9.5949935380653766E-3</v>
      </c>
      <c r="E69" s="17">
        <f t="shared" si="3"/>
        <v>-1.6919176534702213E-3</v>
      </c>
      <c r="F69" s="40"/>
      <c r="G69" s="31"/>
      <c r="H69" s="46"/>
      <c r="I69" s="31"/>
      <c r="J69" s="31"/>
    </row>
    <row r="70" spans="1:10">
      <c r="A70" s="12">
        <v>45726</v>
      </c>
      <c r="B70" s="13">
        <v>64.56</v>
      </c>
      <c r="C70" s="16">
        <v>23027.7</v>
      </c>
      <c r="D70" s="17">
        <f t="shared" si="2"/>
        <v>-4.819120278215249E-4</v>
      </c>
      <c r="E70" s="17">
        <f t="shared" si="3"/>
        <v>-6.176671891729062E-3</v>
      </c>
      <c r="F70" s="40"/>
      <c r="G70" s="31"/>
      <c r="H70" s="46"/>
      <c r="I70" s="31"/>
      <c r="J70" s="31"/>
    </row>
    <row r="71" spans="1:10">
      <c r="A71" s="14">
        <v>45727</v>
      </c>
      <c r="B71" s="15">
        <v>64.790000000000006</v>
      </c>
      <c r="C71" s="16">
        <v>22890.75</v>
      </c>
      <c r="D71" s="17">
        <f t="shared" si="2"/>
        <v>-5.9649402827124621E-3</v>
      </c>
      <c r="E71" s="17">
        <f t="shared" si="3"/>
        <v>3.5562465001725031E-3</v>
      </c>
      <c r="F71" s="40"/>
      <c r="G71" s="31"/>
      <c r="H71" s="46"/>
      <c r="I71" s="31"/>
      <c r="J71" s="31"/>
    </row>
    <row r="72" spans="1:10">
      <c r="A72" s="12">
        <v>45728</v>
      </c>
      <c r="B72" s="13">
        <v>64.69</v>
      </c>
      <c r="C72" s="16">
        <v>22942.7</v>
      </c>
      <c r="D72" s="17">
        <f t="shared" si="2"/>
        <v>2.2669042913836942E-3</v>
      </c>
      <c r="E72" s="17">
        <f t="shared" si="3"/>
        <v>-1.5446404059719374E-3</v>
      </c>
      <c r="F72" s="40"/>
      <c r="G72" s="31"/>
      <c r="H72" s="46"/>
      <c r="I72" s="31"/>
      <c r="J72" s="31"/>
    </row>
    <row r="73" spans="1:10">
      <c r="A73" s="14">
        <v>45729</v>
      </c>
      <c r="B73" s="15">
        <v>64.56</v>
      </c>
      <c r="C73" s="16">
        <v>22919.9</v>
      </c>
      <c r="D73" s="17">
        <f t="shared" si="2"/>
        <v>-9.9427428354708562E-4</v>
      </c>
      <c r="E73" s="17">
        <f t="shared" si="3"/>
        <v>-2.011606094200626E-3</v>
      </c>
      <c r="F73" s="40"/>
      <c r="G73" s="31"/>
      <c r="H73" s="46"/>
      <c r="I73" s="31"/>
      <c r="J73" s="31"/>
    </row>
    <row r="74" spans="1:10">
      <c r="A74" s="12">
        <v>45733</v>
      </c>
      <c r="B74" s="13">
        <v>64.97</v>
      </c>
      <c r="C74" s="16">
        <v>22837.85</v>
      </c>
      <c r="D74" s="17">
        <f t="shared" si="2"/>
        <v>-3.5862815780895179E-3</v>
      </c>
      <c r="E74" s="17">
        <f t="shared" si="3"/>
        <v>6.3306009307461473E-3</v>
      </c>
      <c r="F74" s="40"/>
      <c r="G74" s="31"/>
      <c r="H74" s="46"/>
      <c r="I74" s="31"/>
      <c r="J74" s="31"/>
    </row>
    <row r="75" spans="1:10">
      <c r="A75" s="14">
        <v>45734</v>
      </c>
      <c r="B75" s="15">
        <v>66.08</v>
      </c>
      <c r="C75" s="16">
        <v>22960.799999999999</v>
      </c>
      <c r="D75" s="17">
        <f t="shared" si="2"/>
        <v>5.3691667927439398E-3</v>
      </c>
      <c r="E75" s="17">
        <f t="shared" si="3"/>
        <v>1.6940504320282979E-2</v>
      </c>
      <c r="F75" s="40"/>
      <c r="G75" s="31"/>
      <c r="H75" s="46"/>
      <c r="I75" s="31"/>
      <c r="J75" s="31"/>
    </row>
    <row r="76" spans="1:10">
      <c r="A76" s="12">
        <v>45735</v>
      </c>
      <c r="B76" s="13">
        <v>66.510000000000005</v>
      </c>
      <c r="C76" s="16">
        <v>23340.400000000001</v>
      </c>
      <c r="D76" s="17">
        <f t="shared" si="2"/>
        <v>1.6397350622209352E-2</v>
      </c>
      <c r="E76" s="17">
        <f t="shared" si="3"/>
        <v>6.4861830836073272E-3</v>
      </c>
      <c r="F76" s="40"/>
      <c r="G76" s="31"/>
      <c r="H76" s="46"/>
      <c r="I76" s="31"/>
      <c r="J76" s="31"/>
    </row>
    <row r="77" spans="1:10">
      <c r="A77" s="14">
        <v>45736</v>
      </c>
      <c r="B77" s="15">
        <v>67.22</v>
      </c>
      <c r="C77" s="16">
        <v>23468.35</v>
      </c>
      <c r="D77" s="17">
        <f t="shared" si="2"/>
        <v>5.4669402056075414E-3</v>
      </c>
      <c r="E77" s="17">
        <f t="shared" si="3"/>
        <v>1.0618510000629718E-2</v>
      </c>
      <c r="F77" s="40"/>
      <c r="G77" s="31"/>
      <c r="H77" s="46"/>
      <c r="I77" s="31"/>
      <c r="J77" s="31"/>
    </row>
    <row r="78" spans="1:10">
      <c r="A78" s="12">
        <v>45737</v>
      </c>
      <c r="B78" s="13">
        <v>67.75</v>
      </c>
      <c r="C78" s="16">
        <v>23730.7</v>
      </c>
      <c r="D78" s="17">
        <f t="shared" si="2"/>
        <v>1.1116863659925952E-2</v>
      </c>
      <c r="E78" s="17">
        <f t="shared" si="3"/>
        <v>7.8536374628507682E-3</v>
      </c>
      <c r="F78" s="40"/>
      <c r="G78" s="31"/>
      <c r="H78" s="46"/>
      <c r="I78" s="31"/>
      <c r="J78" s="31"/>
    </row>
    <row r="79" spans="1:10">
      <c r="A79" s="14">
        <v>45740</v>
      </c>
      <c r="B79" s="15">
        <v>68.42</v>
      </c>
      <c r="C79" s="16">
        <v>23902.1</v>
      </c>
      <c r="D79" s="17">
        <f t="shared" si="2"/>
        <v>7.1967526485780548E-3</v>
      </c>
      <c r="E79" s="17">
        <f t="shared" si="3"/>
        <v>9.8407197896484694E-3</v>
      </c>
      <c r="F79" s="40"/>
      <c r="G79" s="31"/>
      <c r="H79" s="46"/>
      <c r="I79" s="31"/>
      <c r="J79" s="31"/>
    </row>
    <row r="80" spans="1:10">
      <c r="A80" s="12">
        <v>45741</v>
      </c>
      <c r="B80" s="13">
        <v>68.28</v>
      </c>
      <c r="C80" s="16">
        <v>24214.2</v>
      </c>
      <c r="D80" s="17">
        <f t="shared" si="2"/>
        <v>1.2972916749666517E-2</v>
      </c>
      <c r="E80" s="17">
        <f t="shared" si="3"/>
        <v>-2.0482816232188167E-3</v>
      </c>
      <c r="F80" s="40"/>
      <c r="G80" s="31"/>
      <c r="H80" s="46"/>
      <c r="I80" s="31"/>
      <c r="J80" s="31"/>
    </row>
    <row r="81" spans="1:10">
      <c r="A81" s="14">
        <v>45742</v>
      </c>
      <c r="B81" s="15">
        <v>67.760000000000005</v>
      </c>
      <c r="C81" s="16">
        <v>24159.9</v>
      </c>
      <c r="D81" s="17">
        <f t="shared" si="2"/>
        <v>-2.2450039507170192E-3</v>
      </c>
      <c r="E81" s="17">
        <f t="shared" si="3"/>
        <v>-7.644847582440854E-3</v>
      </c>
      <c r="F81" s="40"/>
      <c r="G81" s="31"/>
      <c r="H81" s="46"/>
      <c r="I81" s="31"/>
      <c r="J81" s="31"/>
    </row>
    <row r="82" spans="1:10">
      <c r="A82" s="12">
        <v>45743</v>
      </c>
      <c r="B82" s="13">
        <v>68.17</v>
      </c>
      <c r="C82" s="16">
        <v>23990.400000000001</v>
      </c>
      <c r="D82" s="17">
        <f t="shared" si="2"/>
        <v>-7.0404836585946278E-3</v>
      </c>
      <c r="E82" s="17">
        <f t="shared" si="3"/>
        <v>6.0325350308948573E-3</v>
      </c>
      <c r="F82" s="40"/>
      <c r="G82" s="31"/>
      <c r="H82" s="46"/>
      <c r="I82" s="31"/>
      <c r="J82" s="31"/>
    </row>
    <row r="83" spans="1:10">
      <c r="A83" s="14">
        <v>45744</v>
      </c>
      <c r="B83" s="15">
        <v>67.87</v>
      </c>
      <c r="C83" s="16">
        <v>24145.05</v>
      </c>
      <c r="D83" s="17">
        <f t="shared" si="2"/>
        <v>6.4256398188714701E-3</v>
      </c>
      <c r="E83" s="17">
        <f t="shared" si="3"/>
        <v>-4.4104746590268949E-3</v>
      </c>
      <c r="F83" s="40"/>
      <c r="G83" s="31"/>
      <c r="H83" s="46"/>
      <c r="I83" s="31"/>
      <c r="J83" s="31"/>
    </row>
    <row r="84" spans="1:10">
      <c r="A84" s="12">
        <v>45747</v>
      </c>
      <c r="B84" s="13">
        <v>67.87</v>
      </c>
      <c r="C84" s="16">
        <v>24057.35</v>
      </c>
      <c r="D84" s="17">
        <f t="shared" si="2"/>
        <v>-3.6388269783276949E-3</v>
      </c>
      <c r="E84" s="17">
        <f t="shared" si="3"/>
        <v>0</v>
      </c>
      <c r="F84" s="40"/>
      <c r="G84" s="31"/>
      <c r="H84" s="46"/>
      <c r="I84" s="31"/>
      <c r="J84" s="31"/>
    </row>
    <row r="85" spans="1:10">
      <c r="A85" s="14">
        <v>45748</v>
      </c>
      <c r="B85" s="15">
        <v>66.87</v>
      </c>
      <c r="C85" s="16">
        <v>23713.8</v>
      </c>
      <c r="D85" s="17">
        <f t="shared" si="2"/>
        <v>-1.4383406003388197E-2</v>
      </c>
      <c r="E85" s="17">
        <f t="shared" si="3"/>
        <v>-1.4843674649779754E-2</v>
      </c>
      <c r="F85" s="40"/>
      <c r="G85" s="31"/>
      <c r="H85" s="46"/>
      <c r="I85" s="31"/>
      <c r="J85" s="31"/>
    </row>
    <row r="86" spans="1:10">
      <c r="A86" s="12">
        <v>45749</v>
      </c>
      <c r="B86" s="13">
        <v>67.430000000000007</v>
      </c>
      <c r="C86" s="16">
        <v>23901.85</v>
      </c>
      <c r="D86" s="17">
        <f t="shared" si="2"/>
        <v>7.8987046357652888E-3</v>
      </c>
      <c r="E86" s="17">
        <f t="shared" si="3"/>
        <v>8.3395866806033891E-3</v>
      </c>
      <c r="F86" s="40"/>
      <c r="G86" s="31"/>
      <c r="H86" s="46"/>
      <c r="I86" s="31"/>
      <c r="J86" s="31"/>
    </row>
    <row r="87" spans="1:10">
      <c r="A87" s="14">
        <v>45750</v>
      </c>
      <c r="B87" s="15">
        <v>67.260000000000005</v>
      </c>
      <c r="C87" s="16">
        <v>23833.3</v>
      </c>
      <c r="D87" s="17">
        <f t="shared" si="2"/>
        <v>-2.8720993700511346E-3</v>
      </c>
      <c r="E87" s="17">
        <f t="shared" si="3"/>
        <v>-2.5243164343670284E-3</v>
      </c>
      <c r="F87" s="40"/>
      <c r="G87" s="31"/>
      <c r="H87" s="46"/>
      <c r="I87" s="31"/>
      <c r="J87" s="31"/>
    </row>
    <row r="88" spans="1:10">
      <c r="A88" s="12">
        <v>45751</v>
      </c>
      <c r="B88" s="13">
        <v>66.44</v>
      </c>
      <c r="C88" s="16">
        <v>23433.25</v>
      </c>
      <c r="D88" s="17">
        <f t="shared" si="2"/>
        <v>-1.692780847505607E-2</v>
      </c>
      <c r="E88" s="17">
        <f t="shared" si="3"/>
        <v>-1.2266421567029577E-2</v>
      </c>
      <c r="F88" s="40"/>
      <c r="G88" s="31"/>
      <c r="H88" s="46"/>
      <c r="I88" s="31"/>
      <c r="J88" s="31"/>
    </row>
    <row r="89" spans="1:10">
      <c r="A89" s="14">
        <v>45754</v>
      </c>
      <c r="B89" s="15">
        <v>64.400000000000006</v>
      </c>
      <c r="C89" s="16">
        <v>22677.9</v>
      </c>
      <c r="D89" s="17">
        <f t="shared" si="2"/>
        <v>-3.2765071974419531E-2</v>
      </c>
      <c r="E89" s="17">
        <f t="shared" si="3"/>
        <v>-3.1185651634786062E-2</v>
      </c>
      <c r="F89" s="40"/>
      <c r="G89" s="31"/>
      <c r="H89" s="46"/>
      <c r="I89" s="31"/>
      <c r="J89" s="31"/>
    </row>
    <row r="90" spans="1:10">
      <c r="A90" s="12">
        <v>45755</v>
      </c>
      <c r="B90" s="13">
        <v>65.48</v>
      </c>
      <c r="C90" s="16">
        <v>23077.65</v>
      </c>
      <c r="D90" s="17">
        <f t="shared" si="2"/>
        <v>1.7473734718549752E-2</v>
      </c>
      <c r="E90" s="17">
        <f t="shared" si="3"/>
        <v>1.6631119392626223E-2</v>
      </c>
      <c r="F90" s="40"/>
      <c r="G90" s="31"/>
      <c r="H90" s="46"/>
      <c r="I90" s="31"/>
      <c r="J90" s="31"/>
    </row>
    <row r="91" spans="1:10">
      <c r="A91" s="14">
        <v>45756</v>
      </c>
      <c r="B91" s="15">
        <v>65.14</v>
      </c>
      <c r="C91" s="16">
        <v>22952.45</v>
      </c>
      <c r="D91" s="17">
        <f t="shared" si="2"/>
        <v>-5.4399320771421639E-3</v>
      </c>
      <c r="E91" s="17">
        <f t="shared" si="3"/>
        <v>-5.2059526548467296E-3</v>
      </c>
      <c r="F91" s="40"/>
      <c r="G91" s="31"/>
      <c r="H91" s="46"/>
      <c r="I91" s="31"/>
      <c r="J91" s="31"/>
    </row>
    <row r="92" spans="1:10">
      <c r="A92" s="12">
        <v>45758</v>
      </c>
      <c r="B92" s="13">
        <v>66.23</v>
      </c>
      <c r="C92" s="16">
        <v>23369.25</v>
      </c>
      <c r="D92" s="17">
        <f t="shared" si="2"/>
        <v>1.7996370988198628E-2</v>
      </c>
      <c r="E92" s="17">
        <f t="shared" si="3"/>
        <v>1.6594732648800788E-2</v>
      </c>
      <c r="F92" s="40"/>
      <c r="G92" s="31"/>
      <c r="H92" s="46"/>
      <c r="I92" s="31"/>
      <c r="J92" s="31"/>
    </row>
    <row r="93" spans="1:10">
      <c r="A93" s="14">
        <v>45762</v>
      </c>
      <c r="B93" s="15">
        <v>67.75</v>
      </c>
      <c r="C93" s="16">
        <v>23917.4</v>
      </c>
      <c r="D93" s="17">
        <f t="shared" si="2"/>
        <v>2.3185171912850466E-2</v>
      </c>
      <c r="E93" s="17">
        <f t="shared" si="3"/>
        <v>2.2690927262922239E-2</v>
      </c>
      <c r="F93" s="40"/>
      <c r="G93" s="31"/>
      <c r="H93" s="46"/>
      <c r="I93" s="31"/>
      <c r="J93" s="31"/>
    </row>
    <row r="94" spans="1:10">
      <c r="A94" s="12">
        <v>45763</v>
      </c>
      <c r="B94" s="13">
        <v>68</v>
      </c>
      <c r="C94" s="16">
        <v>24037.25</v>
      </c>
      <c r="D94" s="17">
        <f t="shared" si="2"/>
        <v>4.9984829223401264E-3</v>
      </c>
      <c r="E94" s="17">
        <f t="shared" si="3"/>
        <v>3.683245416296368E-3</v>
      </c>
      <c r="F94" s="40"/>
      <c r="G94" s="31"/>
      <c r="H94" s="46"/>
      <c r="I94" s="31"/>
      <c r="J94" s="31"/>
    </row>
    <row r="95" spans="1:10">
      <c r="A95" s="14">
        <v>45764</v>
      </c>
      <c r="B95" s="15">
        <v>69.12</v>
      </c>
      <c r="C95" s="16">
        <v>24418.35</v>
      </c>
      <c r="D95" s="17">
        <f t="shared" si="2"/>
        <v>1.5730188387403192E-2</v>
      </c>
      <c r="E95" s="17">
        <f t="shared" si="3"/>
        <v>1.6336419319693599E-2</v>
      </c>
      <c r="F95" s="40"/>
      <c r="G95" s="31"/>
      <c r="H95" s="46"/>
      <c r="I95" s="31"/>
      <c r="J95" s="31"/>
    </row>
    <row r="96" spans="1:10">
      <c r="A96" s="12">
        <v>45768</v>
      </c>
      <c r="B96" s="13">
        <v>69.930000000000007</v>
      </c>
      <c r="C96" s="16">
        <v>24725.8</v>
      </c>
      <c r="D96" s="17">
        <f t="shared" si="2"/>
        <v>1.2512334068200187E-2</v>
      </c>
      <c r="E96" s="17">
        <f t="shared" si="3"/>
        <v>1.1650617219975274E-2</v>
      </c>
      <c r="F96" s="40"/>
      <c r="G96" s="31"/>
      <c r="H96" s="46"/>
      <c r="I96" s="31"/>
      <c r="J96" s="31"/>
    </row>
    <row r="97" spans="1:10">
      <c r="A97" s="14">
        <v>45769</v>
      </c>
      <c r="B97" s="15">
        <v>70.12</v>
      </c>
      <c r="C97" s="16">
        <v>24770.45</v>
      </c>
      <c r="D97" s="17">
        <f t="shared" si="2"/>
        <v>1.8041775735140751E-3</v>
      </c>
      <c r="E97" s="17">
        <f t="shared" si="3"/>
        <v>2.7133183372582801E-3</v>
      </c>
      <c r="F97" s="40"/>
      <c r="G97" s="31"/>
      <c r="H97" s="46"/>
      <c r="I97" s="31"/>
      <c r="J97" s="31"/>
    </row>
    <row r="98" spans="1:10">
      <c r="A98" s="12">
        <v>45770</v>
      </c>
      <c r="B98" s="13">
        <v>70.55</v>
      </c>
      <c r="C98" s="16">
        <v>24937</v>
      </c>
      <c r="D98" s="17">
        <f t="shared" si="2"/>
        <v>6.701233849848099E-3</v>
      </c>
      <c r="E98" s="17">
        <f t="shared" si="3"/>
        <v>6.1136182457891602E-3</v>
      </c>
      <c r="F98" s="40"/>
      <c r="G98" s="31"/>
      <c r="H98" s="46"/>
      <c r="I98" s="31"/>
      <c r="J98" s="31"/>
    </row>
    <row r="99" spans="1:10">
      <c r="A99" s="14">
        <v>45771</v>
      </c>
      <c r="B99" s="15">
        <v>70.31</v>
      </c>
      <c r="C99" s="16">
        <v>24860.9</v>
      </c>
      <c r="D99" s="17">
        <f t="shared" si="2"/>
        <v>-3.0563561611827673E-3</v>
      </c>
      <c r="E99" s="17">
        <f t="shared" si="3"/>
        <v>-3.4076420877530134E-3</v>
      </c>
      <c r="F99" s="40"/>
      <c r="G99" s="31"/>
      <c r="H99" s="46"/>
      <c r="I99" s="31"/>
      <c r="J99" s="31"/>
    </row>
    <row r="100" spans="1:10">
      <c r="A100" s="12">
        <v>45772</v>
      </c>
      <c r="B100" s="13">
        <v>69.599999999999994</v>
      </c>
      <c r="C100" s="16">
        <v>24581.3</v>
      </c>
      <c r="D100" s="17">
        <f t="shared" si="2"/>
        <v>-1.1310296895981811E-2</v>
      </c>
      <c r="E100" s="17">
        <f t="shared" si="3"/>
        <v>-1.0149468870696132E-2</v>
      </c>
      <c r="F100" s="40"/>
      <c r="G100" s="31"/>
      <c r="H100" s="46"/>
      <c r="I100" s="31"/>
      <c r="J100" s="31"/>
    </row>
    <row r="101" spans="1:10">
      <c r="A101" s="14">
        <v>45775</v>
      </c>
      <c r="B101" s="15">
        <v>70.36</v>
      </c>
      <c r="C101" s="16">
        <v>24874</v>
      </c>
      <c r="D101" s="17">
        <f t="shared" si="2"/>
        <v>1.1837089964951386E-2</v>
      </c>
      <c r="E101" s="17">
        <f t="shared" si="3"/>
        <v>1.0860352528983571E-2</v>
      </c>
      <c r="F101" s="40"/>
      <c r="G101" s="31"/>
      <c r="H101" s="46"/>
      <c r="I101" s="31"/>
      <c r="J101" s="31"/>
    </row>
    <row r="102" spans="1:10">
      <c r="A102" s="12">
        <v>45776</v>
      </c>
      <c r="B102" s="13">
        <v>70.38</v>
      </c>
      <c r="C102" s="16">
        <v>24870.400000000001</v>
      </c>
      <c r="D102" s="17">
        <f t="shared" si="2"/>
        <v>-1.4473991067475112E-4</v>
      </c>
      <c r="E102" s="17">
        <f t="shared" si="3"/>
        <v>2.8421202408162937E-4</v>
      </c>
      <c r="F102" s="40"/>
      <c r="G102" s="31"/>
      <c r="H102" s="46"/>
      <c r="I102" s="31"/>
      <c r="J102" s="31"/>
    </row>
    <row r="103" spans="1:10">
      <c r="A103" s="14">
        <v>45777</v>
      </c>
      <c r="B103" s="15">
        <v>70.25</v>
      </c>
      <c r="C103" s="16">
        <v>24843.8</v>
      </c>
      <c r="D103" s="17">
        <f t="shared" si="2"/>
        <v>-1.0701168896781541E-3</v>
      </c>
      <c r="E103" s="17">
        <f t="shared" si="3"/>
        <v>-1.8488236795839376E-3</v>
      </c>
      <c r="F103" s="40"/>
      <c r="G103" s="31"/>
      <c r="H103" s="46"/>
      <c r="I103" s="31"/>
      <c r="J103" s="31"/>
    </row>
    <row r="104" spans="1:10">
      <c r="A104" s="12">
        <v>45779</v>
      </c>
      <c r="B104" s="13">
        <v>70.25</v>
      </c>
      <c r="C104" s="16">
        <v>24849.200000000001</v>
      </c>
      <c r="D104" s="17">
        <f t="shared" si="2"/>
        <v>2.1733443427676433E-4</v>
      </c>
      <c r="E104" s="17">
        <f t="shared" si="3"/>
        <v>0</v>
      </c>
      <c r="F104" s="40"/>
      <c r="G104" s="31"/>
      <c r="H104" s="46"/>
      <c r="I104" s="31"/>
      <c r="J104" s="31"/>
    </row>
    <row r="105" spans="1:10">
      <c r="A105" s="14">
        <v>45782</v>
      </c>
      <c r="B105" s="15">
        <v>70.72</v>
      </c>
      <c r="C105" s="16">
        <v>25010.2</v>
      </c>
      <c r="D105" s="17">
        <f t="shared" si="2"/>
        <v>6.4581827933598663E-3</v>
      </c>
      <c r="E105" s="17">
        <f t="shared" si="3"/>
        <v>6.6681101155329119E-3</v>
      </c>
      <c r="F105" s="40"/>
      <c r="G105" s="31"/>
      <c r="H105" s="46"/>
      <c r="I105" s="31"/>
      <c r="J105" s="31"/>
    </row>
    <row r="106" spans="1:10">
      <c r="A106" s="12">
        <v>45783</v>
      </c>
      <c r="B106" s="13">
        <v>70.260000000000005</v>
      </c>
      <c r="C106" s="16">
        <v>24837.45</v>
      </c>
      <c r="D106" s="17">
        <f t="shared" si="2"/>
        <v>-6.931146867976779E-3</v>
      </c>
      <c r="E106" s="17">
        <f t="shared" si="3"/>
        <v>-6.5257714917068858E-3</v>
      </c>
      <c r="F106" s="40"/>
      <c r="G106" s="31"/>
      <c r="H106" s="46"/>
      <c r="I106" s="31"/>
      <c r="J106" s="31"/>
    </row>
    <row r="107" spans="1:10">
      <c r="A107" s="14">
        <v>45784</v>
      </c>
      <c r="B107" s="15">
        <v>70.510000000000005</v>
      </c>
      <c r="C107" s="16">
        <v>24887.200000000001</v>
      </c>
      <c r="D107" s="17">
        <f t="shared" si="2"/>
        <v>2.0010202827071511E-3</v>
      </c>
      <c r="E107" s="17">
        <f t="shared" si="3"/>
        <v>3.5518968932683023E-3</v>
      </c>
      <c r="F107" s="40"/>
      <c r="G107" s="31"/>
      <c r="H107" s="46"/>
      <c r="I107" s="31"/>
      <c r="J107" s="31"/>
    </row>
    <row r="108" spans="1:10">
      <c r="A108" s="12">
        <v>45785</v>
      </c>
      <c r="B108" s="13">
        <v>69.88</v>
      </c>
      <c r="C108" s="16">
        <v>24678</v>
      </c>
      <c r="D108" s="17">
        <f t="shared" si="2"/>
        <v>-8.4414565972212065E-3</v>
      </c>
      <c r="E108" s="17">
        <f t="shared" si="3"/>
        <v>-8.9750584650934856E-3</v>
      </c>
      <c r="F108" s="40"/>
      <c r="G108" s="31"/>
      <c r="H108" s="46"/>
      <c r="I108" s="31"/>
      <c r="J108" s="31"/>
    </row>
    <row r="109" spans="1:10">
      <c r="A109" s="14">
        <v>45786</v>
      </c>
      <c r="B109" s="15">
        <v>69.260000000000005</v>
      </c>
      <c r="C109" s="16">
        <v>24437.55</v>
      </c>
      <c r="D109" s="17">
        <f t="shared" si="2"/>
        <v>-9.7912746970449799E-3</v>
      </c>
      <c r="E109" s="17">
        <f t="shared" si="3"/>
        <v>-8.9119462915797313E-3</v>
      </c>
      <c r="F109" s="40"/>
      <c r="G109" s="31"/>
      <c r="H109" s="46"/>
      <c r="I109" s="31"/>
      <c r="J109" s="31"/>
    </row>
    <row r="110" spans="1:10">
      <c r="A110" s="12">
        <v>45789</v>
      </c>
      <c r="B110" s="13">
        <v>71.790000000000006</v>
      </c>
      <c r="C110" s="16">
        <v>25381.4</v>
      </c>
      <c r="D110" s="17">
        <f t="shared" si="2"/>
        <v>3.7895738530125782E-2</v>
      </c>
      <c r="E110" s="17">
        <f t="shared" si="3"/>
        <v>3.5877651614115748E-2</v>
      </c>
      <c r="F110" s="40"/>
      <c r="G110" s="31"/>
      <c r="H110" s="46"/>
      <c r="I110" s="31"/>
      <c r="J110" s="31"/>
    </row>
    <row r="111" spans="1:10">
      <c r="A111" s="14">
        <v>45790</v>
      </c>
      <c r="B111" s="15">
        <v>71.06</v>
      </c>
      <c r="C111" s="16">
        <v>25087.1</v>
      </c>
      <c r="D111" s="17">
        <f t="shared" si="2"/>
        <v>-1.1662852509392864E-2</v>
      </c>
      <c r="E111" s="17">
        <f t="shared" si="3"/>
        <v>-1.0220599995510685E-2</v>
      </c>
      <c r="F111" s="40"/>
      <c r="G111" s="31"/>
      <c r="H111" s="46"/>
      <c r="I111" s="31"/>
      <c r="J111" s="31"/>
    </row>
    <row r="112" spans="1:10">
      <c r="A112" s="12">
        <v>45791</v>
      </c>
      <c r="B112" s="13">
        <v>71.37</v>
      </c>
      <c r="C112" s="16">
        <v>25193.3</v>
      </c>
      <c r="D112" s="17">
        <f t="shared" si="2"/>
        <v>4.2243163509783164E-3</v>
      </c>
      <c r="E112" s="17">
        <f t="shared" si="3"/>
        <v>4.3530223900950845E-3</v>
      </c>
      <c r="F112" s="40"/>
      <c r="G112" s="31"/>
      <c r="H112" s="46"/>
      <c r="I112" s="31"/>
      <c r="J112" s="31"/>
    </row>
    <row r="113" spans="1:10">
      <c r="A113" s="14">
        <v>45792</v>
      </c>
      <c r="B113" s="15">
        <v>72.31</v>
      </c>
      <c r="C113" s="16">
        <v>25573.05</v>
      </c>
      <c r="D113" s="17">
        <f t="shared" si="2"/>
        <v>1.4960976445471475E-2</v>
      </c>
      <c r="E113" s="17">
        <f t="shared" si="3"/>
        <v>1.3084819203884509E-2</v>
      </c>
      <c r="F113" s="40"/>
      <c r="G113" s="31"/>
      <c r="H113" s="46"/>
      <c r="I113" s="31"/>
      <c r="J113" s="31"/>
    </row>
    <row r="114" spans="1:10">
      <c r="A114" s="12">
        <v>45793</v>
      </c>
      <c r="B114" s="13">
        <v>72.37</v>
      </c>
      <c r="C114" s="16">
        <v>25593.1</v>
      </c>
      <c r="D114" s="17">
        <f t="shared" si="2"/>
        <v>7.8372130896126339E-4</v>
      </c>
      <c r="E114" s="17">
        <f t="shared" si="3"/>
        <v>8.2941669117586765E-4</v>
      </c>
      <c r="F114" s="40"/>
      <c r="G114" s="31"/>
      <c r="H114" s="46"/>
      <c r="I114" s="31"/>
      <c r="J114" s="31"/>
    </row>
    <row r="115" spans="1:10">
      <c r="A115" s="14">
        <v>45796</v>
      </c>
      <c r="B115" s="15">
        <v>72.3</v>
      </c>
      <c r="C115" s="16">
        <v>25551.5</v>
      </c>
      <c r="D115" s="17">
        <f t="shared" si="2"/>
        <v>-1.6267605641264245E-3</v>
      </c>
      <c r="E115" s="17">
        <f t="shared" si="3"/>
        <v>-9.6771971331738684E-4</v>
      </c>
      <c r="F115" s="40"/>
      <c r="G115" s="31"/>
      <c r="H115" s="46"/>
      <c r="I115" s="31"/>
      <c r="J115" s="31"/>
    </row>
    <row r="116" spans="1:10">
      <c r="A116" s="12">
        <v>45797</v>
      </c>
      <c r="B116" s="13">
        <v>71.430000000000007</v>
      </c>
      <c r="C116" s="16">
        <v>25248.65</v>
      </c>
      <c r="D116" s="17">
        <f t="shared" si="2"/>
        <v>-1.1923334395803044E-2</v>
      </c>
      <c r="E116" s="17">
        <f t="shared" si="3"/>
        <v>-1.2106179997837743E-2</v>
      </c>
      <c r="F116" s="40"/>
      <c r="G116" s="31"/>
      <c r="H116" s="46"/>
      <c r="I116" s="31"/>
      <c r="J116" s="31"/>
    </row>
    <row r="117" spans="1:10">
      <c r="A117" s="14">
        <v>45798</v>
      </c>
      <c r="B117" s="15">
        <v>71.900000000000006</v>
      </c>
      <c r="C117" s="16">
        <v>25409.1</v>
      </c>
      <c r="D117" s="17">
        <f t="shared" si="2"/>
        <v>6.3346886329607157E-3</v>
      </c>
      <c r="E117" s="17">
        <f t="shared" si="3"/>
        <v>6.5583155601198701E-3</v>
      </c>
      <c r="F117" s="40"/>
      <c r="G117" s="31"/>
      <c r="H117" s="46"/>
      <c r="I117" s="31"/>
      <c r="J117" s="31"/>
    </row>
    <row r="118" spans="1:10">
      <c r="A118" s="12">
        <v>45799</v>
      </c>
      <c r="B118" s="13">
        <v>71.42</v>
      </c>
      <c r="C118" s="16">
        <v>25221.9</v>
      </c>
      <c r="D118" s="17">
        <f t="shared" si="2"/>
        <v>-7.3947128452906971E-3</v>
      </c>
      <c r="E118" s="17">
        <f t="shared" si="3"/>
        <v>-6.6983225606987093E-3</v>
      </c>
      <c r="F118" s="40"/>
      <c r="G118" s="31"/>
      <c r="H118" s="46"/>
      <c r="I118" s="31"/>
      <c r="J118" s="31"/>
    </row>
    <row r="119" spans="1:10">
      <c r="A119" s="14">
        <v>45800</v>
      </c>
      <c r="B119" s="15">
        <v>72</v>
      </c>
      <c r="C119" s="16">
        <v>25453</v>
      </c>
      <c r="D119" s="17">
        <f t="shared" si="2"/>
        <v>9.120949508796234E-3</v>
      </c>
      <c r="E119" s="17">
        <f t="shared" si="3"/>
        <v>8.0881768497528296E-3</v>
      </c>
      <c r="F119" s="40"/>
      <c r="G119" s="31"/>
      <c r="H119" s="46"/>
      <c r="I119" s="31"/>
      <c r="J119" s="31"/>
    </row>
    <row r="120" spans="1:10">
      <c r="A120" s="12">
        <v>45803</v>
      </c>
      <c r="B120" s="13">
        <v>72.28</v>
      </c>
      <c r="C120" s="16">
        <v>25596.5</v>
      </c>
      <c r="D120" s="17">
        <f t="shared" si="2"/>
        <v>5.6220091466785893E-3</v>
      </c>
      <c r="E120" s="17">
        <f t="shared" si="3"/>
        <v>3.8813467079723751E-3</v>
      </c>
      <c r="F120" s="40"/>
      <c r="G120" s="31"/>
      <c r="H120" s="46"/>
      <c r="I120" s="31"/>
      <c r="J120" s="31"/>
    </row>
    <row r="121" spans="1:10">
      <c r="A121" s="14">
        <v>45804</v>
      </c>
      <c r="B121" s="15">
        <v>71.83</v>
      </c>
      <c r="C121" s="16">
        <v>25436.35</v>
      </c>
      <c r="D121" s="17">
        <f t="shared" si="2"/>
        <v>-6.2763700530023532E-3</v>
      </c>
      <c r="E121" s="17">
        <f t="shared" si="3"/>
        <v>-6.2452496373175022E-3</v>
      </c>
      <c r="F121" s="40"/>
      <c r="G121" s="31"/>
      <c r="H121" s="46"/>
      <c r="I121" s="31"/>
      <c r="J121" s="31"/>
    </row>
    <row r="122" spans="1:10">
      <c r="A122" s="12">
        <v>45805</v>
      </c>
      <c r="B122" s="13">
        <v>71.680000000000007</v>
      </c>
      <c r="C122" s="16">
        <v>25361.1</v>
      </c>
      <c r="D122" s="17">
        <f t="shared" si="2"/>
        <v>-2.9627493129925683E-3</v>
      </c>
      <c r="E122" s="17">
        <f t="shared" si="3"/>
        <v>-2.0904474200351257E-3</v>
      </c>
      <c r="F122" s="40"/>
      <c r="G122" s="31"/>
      <c r="H122" s="46"/>
      <c r="I122" s="31"/>
      <c r="J122" s="31"/>
    </row>
    <row r="123" spans="1:10">
      <c r="A123" s="14">
        <v>45806</v>
      </c>
      <c r="B123" s="15">
        <v>71.86</v>
      </c>
      <c r="C123" s="16">
        <v>25436.3</v>
      </c>
      <c r="D123" s="17">
        <f t="shared" si="2"/>
        <v>2.960783620228457E-3</v>
      </c>
      <c r="E123" s="17">
        <f t="shared" si="3"/>
        <v>2.5080130186975135E-3</v>
      </c>
      <c r="F123" s="40"/>
      <c r="G123" s="31"/>
      <c r="H123" s="46"/>
      <c r="I123" s="31"/>
      <c r="J123" s="31"/>
    </row>
    <row r="124" spans="1:10">
      <c r="A124" s="12">
        <v>45807</v>
      </c>
      <c r="B124" s="13">
        <v>71.72</v>
      </c>
      <c r="C124" s="16">
        <v>25344.25</v>
      </c>
      <c r="D124" s="17">
        <f t="shared" si="2"/>
        <v>-3.6254077918495067E-3</v>
      </c>
      <c r="E124" s="17">
        <f t="shared" si="3"/>
        <v>-1.9501329484405666E-3</v>
      </c>
      <c r="F124" s="40"/>
      <c r="G124" s="31"/>
      <c r="H124" s="46"/>
      <c r="I124" s="31"/>
      <c r="J124" s="31"/>
    </row>
    <row r="125" spans="1:10">
      <c r="A125" s="14">
        <v>45810</v>
      </c>
      <c r="B125" s="15">
        <v>71.680000000000007</v>
      </c>
      <c r="C125" s="16">
        <v>25333.65</v>
      </c>
      <c r="D125" s="17">
        <f t="shared" si="2"/>
        <v>-4.1832831094344367E-4</v>
      </c>
      <c r="E125" s="17">
        <f t="shared" si="3"/>
        <v>-5.5788007025698336E-4</v>
      </c>
      <c r="F125" s="40"/>
      <c r="G125" s="31"/>
      <c r="H125" s="46"/>
      <c r="I125" s="31"/>
      <c r="J125" s="31"/>
    </row>
    <row r="126" spans="1:10">
      <c r="A126" s="12">
        <v>45811</v>
      </c>
      <c r="B126" s="13">
        <v>71.27</v>
      </c>
      <c r="C126" s="16">
        <v>25162.05</v>
      </c>
      <c r="D126" s="17">
        <f t="shared" si="2"/>
        <v>-6.7966444896921836E-3</v>
      </c>
      <c r="E126" s="17">
        <f t="shared" si="3"/>
        <v>-5.7362871528958232E-3</v>
      </c>
      <c r="F126" s="40"/>
      <c r="G126" s="31"/>
      <c r="H126" s="46"/>
      <c r="I126" s="31"/>
      <c r="J126" s="31"/>
    </row>
    <row r="127" spans="1:10">
      <c r="A127" s="14">
        <v>45812</v>
      </c>
      <c r="B127" s="15">
        <v>71.569999999999993</v>
      </c>
      <c r="C127" s="16">
        <v>25240.65</v>
      </c>
      <c r="D127" s="17">
        <f t="shared" si="2"/>
        <v>3.1188830643862292E-3</v>
      </c>
      <c r="E127" s="17">
        <f t="shared" si="3"/>
        <v>4.2005102367267668E-3</v>
      </c>
      <c r="F127" s="40"/>
      <c r="G127" s="31"/>
      <c r="H127" s="46"/>
      <c r="I127" s="31"/>
      <c r="J127" s="31"/>
    </row>
    <row r="128" spans="1:10">
      <c r="A128" s="12">
        <v>45813</v>
      </c>
      <c r="B128" s="13">
        <v>71.95</v>
      </c>
      <c r="C128" s="16">
        <v>25369.75</v>
      </c>
      <c r="D128" s="17">
        <f t="shared" si="2"/>
        <v>5.1017292893920279E-3</v>
      </c>
      <c r="E128" s="17">
        <f t="shared" si="3"/>
        <v>5.2954415828708936E-3</v>
      </c>
      <c r="F128" s="40"/>
      <c r="G128" s="31"/>
      <c r="H128" s="46"/>
      <c r="I128" s="31"/>
      <c r="J128" s="31"/>
    </row>
    <row r="129" spans="1:10">
      <c r="A129" s="14">
        <v>45814</v>
      </c>
      <c r="B129" s="15">
        <v>72.67</v>
      </c>
      <c r="C129" s="16">
        <v>25638.799999999999</v>
      </c>
      <c r="D129" s="17">
        <f t="shared" si="2"/>
        <v>1.054930968096939E-2</v>
      </c>
      <c r="E129" s="17">
        <f t="shared" si="3"/>
        <v>9.9572112951676148E-3</v>
      </c>
      <c r="F129" s="40"/>
      <c r="G129" s="31"/>
      <c r="H129" s="46"/>
      <c r="I129" s="31"/>
      <c r="J129" s="31"/>
    </row>
    <row r="130" spans="1:10">
      <c r="A130" s="12">
        <v>45817</v>
      </c>
      <c r="B130" s="13">
        <v>73</v>
      </c>
      <c r="C130" s="16">
        <v>25779.45</v>
      </c>
      <c r="D130" s="17">
        <f t="shared" si="2"/>
        <v>5.4708338305808927E-3</v>
      </c>
      <c r="E130" s="17">
        <f t="shared" si="3"/>
        <v>4.5307965198465886E-3</v>
      </c>
      <c r="F130" s="40"/>
      <c r="G130" s="31"/>
      <c r="H130" s="46"/>
      <c r="I130" s="31"/>
      <c r="J130" s="31"/>
    </row>
    <row r="131" spans="1:10">
      <c r="A131" s="14">
        <v>45818</v>
      </c>
      <c r="B131" s="15">
        <v>72.92</v>
      </c>
      <c r="C131" s="16">
        <v>25785.5</v>
      </c>
      <c r="D131" s="17">
        <f t="shared" si="2"/>
        <v>2.3465551805083035E-4</v>
      </c>
      <c r="E131" s="17">
        <f t="shared" si="3"/>
        <v>-1.0964913379288583E-3</v>
      </c>
      <c r="F131" s="40"/>
      <c r="G131" s="31"/>
      <c r="H131" s="46"/>
      <c r="I131" s="31"/>
      <c r="J131" s="31"/>
    </row>
    <row r="132" spans="1:10">
      <c r="A132" s="12">
        <v>45819</v>
      </c>
      <c r="B132" s="13">
        <v>72.97</v>
      </c>
      <c r="C132" s="16">
        <v>25807.1</v>
      </c>
      <c r="D132" s="17">
        <f t="shared" ref="D132:D195" si="4">LN(C132/C131)</f>
        <v>8.3732943336888965E-4</v>
      </c>
      <c r="E132" s="17">
        <f t="shared" ref="E132:E195" si="5">LN(B132/B131)</f>
        <v>6.854479670664335E-4</v>
      </c>
      <c r="F132" s="40"/>
      <c r="G132" s="31"/>
      <c r="H132" s="46"/>
      <c r="I132" s="31"/>
      <c r="J132" s="31"/>
    </row>
    <row r="133" spans="1:10">
      <c r="A133" s="14">
        <v>45820</v>
      </c>
      <c r="B133" s="15">
        <v>72.209999999999994</v>
      </c>
      <c r="C133" s="16">
        <v>25511.55</v>
      </c>
      <c r="D133" s="17">
        <f t="shared" si="4"/>
        <v>-1.1518357073193163E-2</v>
      </c>
      <c r="E133" s="17">
        <f t="shared" si="5"/>
        <v>-1.0469857314438486E-2</v>
      </c>
      <c r="F133" s="40"/>
      <c r="G133" s="31"/>
      <c r="H133" s="46"/>
      <c r="I133" s="31"/>
      <c r="J133" s="31"/>
    </row>
    <row r="134" spans="1:10">
      <c r="A134" s="12">
        <v>45821</v>
      </c>
      <c r="B134" s="13">
        <v>71.75</v>
      </c>
      <c r="C134" s="16">
        <v>25331.35</v>
      </c>
      <c r="D134" s="17">
        <f t="shared" si="4"/>
        <v>-7.0885317142039559E-3</v>
      </c>
      <c r="E134" s="17">
        <f t="shared" si="5"/>
        <v>-6.3906858233597251E-3</v>
      </c>
      <c r="F134" s="40"/>
      <c r="G134" s="31"/>
      <c r="H134" s="46"/>
      <c r="I134" s="31"/>
      <c r="J134" s="31"/>
    </row>
    <row r="135" spans="1:10">
      <c r="A135" s="14">
        <v>45824</v>
      </c>
      <c r="B135" s="15">
        <v>72.45</v>
      </c>
      <c r="C135" s="16">
        <v>25556.75</v>
      </c>
      <c r="D135" s="17">
        <f t="shared" si="4"/>
        <v>8.8587105454152638E-3</v>
      </c>
      <c r="E135" s="17">
        <f t="shared" si="5"/>
        <v>9.7088141269609032E-3</v>
      </c>
      <c r="F135" s="40"/>
      <c r="G135" s="31"/>
      <c r="H135" s="46"/>
      <c r="I135" s="31"/>
      <c r="J135" s="31"/>
    </row>
    <row r="136" spans="1:10">
      <c r="A136" s="12">
        <v>45825</v>
      </c>
      <c r="B136" s="13">
        <v>72.180000000000007</v>
      </c>
      <c r="C136" s="16">
        <v>25446.7</v>
      </c>
      <c r="D136" s="17">
        <f t="shared" si="4"/>
        <v>-4.3154010477917783E-3</v>
      </c>
      <c r="E136" s="17">
        <f t="shared" si="5"/>
        <v>-3.7336695520488379E-3</v>
      </c>
      <c r="F136" s="40"/>
      <c r="G136" s="31"/>
      <c r="H136" s="46"/>
      <c r="I136" s="31"/>
      <c r="J136" s="31"/>
    </row>
    <row r="137" spans="1:10">
      <c r="A137" s="14">
        <v>45826</v>
      </c>
      <c r="B137" s="15">
        <v>72.06</v>
      </c>
      <c r="C137" s="16">
        <v>25398.05</v>
      </c>
      <c r="D137" s="17">
        <f t="shared" si="4"/>
        <v>-1.913669153526525E-3</v>
      </c>
      <c r="E137" s="17">
        <f t="shared" si="5"/>
        <v>-1.6638938946953808E-3</v>
      </c>
      <c r="F137" s="40"/>
      <c r="G137" s="31"/>
      <c r="H137" s="46"/>
      <c r="I137" s="31"/>
      <c r="J137" s="31"/>
    </row>
    <row r="138" spans="1:10">
      <c r="A138" s="12">
        <v>45827</v>
      </c>
      <c r="B138" s="13">
        <v>71.83</v>
      </c>
      <c r="C138" s="16">
        <v>25320.45</v>
      </c>
      <c r="D138" s="17">
        <f t="shared" si="4"/>
        <v>-3.0600297939587127E-3</v>
      </c>
      <c r="E138" s="17">
        <f t="shared" si="5"/>
        <v>-3.1968892332369832E-3</v>
      </c>
      <c r="F138" s="40"/>
      <c r="G138" s="31"/>
      <c r="H138" s="46"/>
      <c r="I138" s="31"/>
      <c r="J138" s="31"/>
    </row>
    <row r="139" spans="1:10">
      <c r="A139" s="14">
        <v>45828</v>
      </c>
      <c r="B139" s="15">
        <v>72.8</v>
      </c>
      <c r="C139" s="16">
        <v>25648.799999999999</v>
      </c>
      <c r="D139" s="17">
        <f t="shared" si="4"/>
        <v>1.2884417266764984E-2</v>
      </c>
      <c r="E139" s="17">
        <f t="shared" si="5"/>
        <v>1.3413739115930105E-2</v>
      </c>
      <c r="F139" s="40"/>
      <c r="G139" s="31"/>
      <c r="H139" s="46"/>
      <c r="I139" s="31"/>
      <c r="J139" s="31"/>
    </row>
    <row r="140" spans="1:10">
      <c r="A140" s="12">
        <v>45831</v>
      </c>
      <c r="B140" s="13">
        <v>72.510000000000005</v>
      </c>
      <c r="C140" s="16">
        <v>25532.95</v>
      </c>
      <c r="D140" s="17">
        <f t="shared" si="4"/>
        <v>-4.5270119857509323E-3</v>
      </c>
      <c r="E140" s="17">
        <f t="shared" si="5"/>
        <v>-3.9914718191388244E-3</v>
      </c>
      <c r="F140" s="40"/>
      <c r="G140" s="31"/>
      <c r="H140" s="46"/>
      <c r="I140" s="31"/>
      <c r="J140" s="31"/>
    </row>
    <row r="141" spans="1:10">
      <c r="A141" s="14">
        <v>45832</v>
      </c>
      <c r="B141" s="15">
        <v>72.739999999999995</v>
      </c>
      <c r="C141" s="16">
        <v>25631.599999999999</v>
      </c>
      <c r="D141" s="17">
        <f t="shared" si="4"/>
        <v>3.8561903601394337E-3</v>
      </c>
      <c r="E141" s="17">
        <f t="shared" si="5"/>
        <v>3.1669561753415215E-3</v>
      </c>
      <c r="F141" s="40"/>
      <c r="G141" s="31"/>
      <c r="H141" s="46"/>
      <c r="I141" s="31"/>
      <c r="J141" s="31"/>
    </row>
    <row r="142" spans="1:10">
      <c r="A142" s="12">
        <v>45833</v>
      </c>
      <c r="B142" s="13">
        <v>73.319999999999993</v>
      </c>
      <c r="C142" s="16">
        <v>25822.35</v>
      </c>
      <c r="D142" s="17">
        <f t="shared" si="4"/>
        <v>7.4144307231337279E-3</v>
      </c>
      <c r="E142" s="17">
        <f t="shared" si="5"/>
        <v>7.9419834126612573E-3</v>
      </c>
      <c r="F142" s="40"/>
      <c r="G142" s="31"/>
      <c r="H142" s="46"/>
      <c r="I142" s="31"/>
      <c r="J142" s="31"/>
    </row>
    <row r="143" spans="1:10">
      <c r="A143" s="14">
        <v>45834</v>
      </c>
      <c r="B143" s="15">
        <v>74.06</v>
      </c>
      <c r="C143" s="16">
        <v>26121.1</v>
      </c>
      <c r="D143" s="17">
        <f t="shared" si="4"/>
        <v>1.1503020850431542E-2</v>
      </c>
      <c r="E143" s="17">
        <f t="shared" si="5"/>
        <v>1.0042152513962408E-2</v>
      </c>
      <c r="F143" s="40"/>
      <c r="G143" s="31"/>
      <c r="H143" s="46"/>
      <c r="I143" s="31"/>
      <c r="J143" s="31"/>
    </row>
    <row r="144" spans="1:10">
      <c r="A144" s="12">
        <v>45835</v>
      </c>
      <c r="B144" s="13">
        <v>74.38</v>
      </c>
      <c r="C144" s="16">
        <v>26223.599999999999</v>
      </c>
      <c r="D144" s="17">
        <f t="shared" si="4"/>
        <v>3.9163518373567536E-3</v>
      </c>
      <c r="E144" s="17">
        <f t="shared" si="5"/>
        <v>4.31151301145724E-3</v>
      </c>
      <c r="F144" s="40"/>
      <c r="G144" s="31"/>
      <c r="H144" s="46"/>
      <c r="I144" s="31"/>
      <c r="J144" s="31"/>
    </row>
    <row r="145" spans="1:10">
      <c r="A145" s="14">
        <v>45838</v>
      </c>
      <c r="B145" s="15">
        <v>74.11</v>
      </c>
      <c r="C145" s="16">
        <v>26139.5</v>
      </c>
      <c r="D145" s="17">
        <f t="shared" si="4"/>
        <v>-3.2121884423593431E-3</v>
      </c>
      <c r="E145" s="17">
        <f t="shared" si="5"/>
        <v>-3.6366125336564554E-3</v>
      </c>
      <c r="F145" s="40"/>
      <c r="G145" s="31"/>
      <c r="H145" s="46"/>
      <c r="I145" s="31"/>
      <c r="J145" s="31"/>
    </row>
    <row r="146" spans="1:10">
      <c r="A146" s="12">
        <v>45839</v>
      </c>
      <c r="B146" s="13">
        <v>74.09</v>
      </c>
      <c r="C146" s="16">
        <v>26156.1</v>
      </c>
      <c r="D146" s="17">
        <f t="shared" si="4"/>
        <v>6.3485266666923857E-4</v>
      </c>
      <c r="E146" s="17">
        <f t="shared" si="5"/>
        <v>-2.6990553470192035E-4</v>
      </c>
      <c r="F146" s="40"/>
      <c r="G146" s="31"/>
      <c r="H146" s="46"/>
      <c r="I146" s="31"/>
      <c r="J146" s="31"/>
    </row>
    <row r="147" spans="1:10">
      <c r="A147" s="14">
        <v>45840</v>
      </c>
      <c r="B147" s="15">
        <v>73.89</v>
      </c>
      <c r="C147" s="16">
        <v>26068.05</v>
      </c>
      <c r="D147" s="17">
        <f t="shared" si="4"/>
        <v>-3.3720063775281063E-3</v>
      </c>
      <c r="E147" s="17">
        <f t="shared" si="5"/>
        <v>-2.7030696280093444E-3</v>
      </c>
      <c r="F147" s="40"/>
      <c r="G147" s="31"/>
      <c r="H147" s="46"/>
      <c r="I147" s="31"/>
      <c r="J147" s="31"/>
    </row>
    <row r="148" spans="1:10">
      <c r="A148" s="12">
        <v>45841</v>
      </c>
      <c r="B148" s="13">
        <v>73.680000000000007</v>
      </c>
      <c r="C148" s="16">
        <v>26003</v>
      </c>
      <c r="D148" s="17">
        <f t="shared" si="4"/>
        <v>-2.49851054817774E-3</v>
      </c>
      <c r="E148" s="17">
        <f t="shared" si="5"/>
        <v>-2.8461088535047165E-3</v>
      </c>
      <c r="F148" s="40"/>
      <c r="G148" s="31"/>
      <c r="H148" s="46"/>
      <c r="I148" s="31"/>
      <c r="J148" s="31"/>
    </row>
    <row r="149" spans="1:10">
      <c r="A149" s="14">
        <v>45842</v>
      </c>
      <c r="B149" s="15">
        <v>73.87</v>
      </c>
      <c r="C149" s="16">
        <v>26066.65</v>
      </c>
      <c r="D149" s="17">
        <f t="shared" si="4"/>
        <v>2.4448035161880682E-3</v>
      </c>
      <c r="E149" s="17">
        <f t="shared" si="5"/>
        <v>2.575399593595045E-3</v>
      </c>
      <c r="F149" s="40"/>
      <c r="G149" s="31"/>
      <c r="H149" s="46"/>
      <c r="I149" s="31"/>
      <c r="J149" s="31"/>
    </row>
    <row r="150" spans="1:10">
      <c r="A150" s="12">
        <v>45845</v>
      </c>
      <c r="B150" s="13">
        <v>73.77</v>
      </c>
      <c r="C150" s="16">
        <v>26074.55</v>
      </c>
      <c r="D150" s="17">
        <f t="shared" si="4"/>
        <v>3.0302333127914927E-4</v>
      </c>
      <c r="E150" s="17">
        <f t="shared" si="5"/>
        <v>-1.3546466444355977E-3</v>
      </c>
      <c r="F150" s="40"/>
      <c r="G150" s="31"/>
      <c r="H150" s="46"/>
      <c r="I150" s="31"/>
      <c r="J150" s="31"/>
    </row>
    <row r="151" spans="1:10">
      <c r="A151" s="14">
        <v>45846</v>
      </c>
      <c r="B151" s="15">
        <v>73.930000000000007</v>
      </c>
      <c r="C151" s="16">
        <v>26126.05</v>
      </c>
      <c r="D151" s="17">
        <f t="shared" si="4"/>
        <v>1.9731580368413742E-3</v>
      </c>
      <c r="E151" s="17">
        <f t="shared" si="5"/>
        <v>2.1665546727978498E-3</v>
      </c>
      <c r="F151" s="40"/>
      <c r="G151" s="31"/>
      <c r="H151" s="46"/>
      <c r="I151" s="31"/>
      <c r="J151" s="31"/>
    </row>
    <row r="152" spans="1:10">
      <c r="A152" s="12">
        <v>45847</v>
      </c>
      <c r="B152" s="13">
        <v>73.900000000000006</v>
      </c>
      <c r="C152" s="16">
        <v>26084</v>
      </c>
      <c r="D152" s="17">
        <f t="shared" si="4"/>
        <v>-1.610801333926815E-3</v>
      </c>
      <c r="E152" s="17">
        <f t="shared" si="5"/>
        <v>-4.0587161485259991E-4</v>
      </c>
      <c r="F152" s="40"/>
      <c r="G152" s="31"/>
      <c r="H152" s="46"/>
      <c r="I152" s="31"/>
      <c r="J152" s="31"/>
    </row>
    <row r="153" spans="1:10">
      <c r="A153" s="14">
        <v>45848</v>
      </c>
      <c r="B153" s="15">
        <v>73.55</v>
      </c>
      <c r="C153" s="16">
        <v>25971.35</v>
      </c>
      <c r="D153" s="17">
        <f t="shared" si="4"/>
        <v>-4.3280921499972728E-3</v>
      </c>
      <c r="E153" s="17">
        <f t="shared" si="5"/>
        <v>-4.7473809067096612E-3</v>
      </c>
      <c r="F153" s="40"/>
      <c r="G153" s="31"/>
      <c r="H153" s="46"/>
      <c r="I153" s="31"/>
      <c r="J153" s="31"/>
    </row>
    <row r="154" spans="1:10">
      <c r="A154" s="12">
        <v>45849</v>
      </c>
      <c r="B154" s="13">
        <v>73</v>
      </c>
      <c r="C154" s="16">
        <v>25760.799999999999</v>
      </c>
      <c r="D154" s="17">
        <f t="shared" si="4"/>
        <v>-8.1400507264091475E-3</v>
      </c>
      <c r="E154" s="17">
        <f t="shared" si="5"/>
        <v>-7.5060058990553073E-3</v>
      </c>
      <c r="F154" s="40"/>
      <c r="G154" s="31"/>
      <c r="H154" s="46"/>
      <c r="I154" s="31"/>
      <c r="J154" s="31"/>
    </row>
    <row r="155" spans="1:10">
      <c r="A155" s="14">
        <v>45852</v>
      </c>
      <c r="B155" s="15">
        <v>72.989999999999995</v>
      </c>
      <c r="C155" s="16">
        <v>25724.15</v>
      </c>
      <c r="D155" s="17">
        <f t="shared" si="4"/>
        <v>-1.4237172684717909E-3</v>
      </c>
      <c r="E155" s="17">
        <f t="shared" si="5"/>
        <v>-1.3699568485026474E-4</v>
      </c>
      <c r="F155" s="40"/>
      <c r="G155" s="31"/>
      <c r="H155" s="46"/>
      <c r="I155" s="31"/>
      <c r="J155" s="31"/>
    </row>
    <row r="156" spans="1:10">
      <c r="A156" s="12">
        <v>45853</v>
      </c>
      <c r="B156" s="13">
        <v>73.34</v>
      </c>
      <c r="C156" s="16">
        <v>25849.15</v>
      </c>
      <c r="D156" s="17">
        <f t="shared" si="4"/>
        <v>4.8474790161299524E-3</v>
      </c>
      <c r="E156" s="17">
        <f t="shared" si="5"/>
        <v>4.7837171796390751E-3</v>
      </c>
      <c r="F156" s="40"/>
      <c r="G156" s="31"/>
      <c r="H156" s="46"/>
      <c r="I156" s="31"/>
      <c r="J156" s="31"/>
    </row>
    <row r="157" spans="1:10">
      <c r="A157" s="14">
        <v>45854</v>
      </c>
      <c r="B157" s="15">
        <v>73.42</v>
      </c>
      <c r="C157" s="16">
        <v>25872.2</v>
      </c>
      <c r="D157" s="17">
        <f t="shared" si="4"/>
        <v>8.9131476753763798E-4</v>
      </c>
      <c r="E157" s="17">
        <f t="shared" si="5"/>
        <v>1.09021542550818E-3</v>
      </c>
      <c r="F157" s="40"/>
      <c r="G157" s="31"/>
      <c r="H157" s="46"/>
      <c r="I157" s="31"/>
      <c r="J157" s="31"/>
    </row>
    <row r="158" spans="1:10">
      <c r="A158" s="12">
        <v>45855</v>
      </c>
      <c r="B158" s="13">
        <v>73.180000000000007</v>
      </c>
      <c r="C158" s="16">
        <v>25776.45</v>
      </c>
      <c r="D158" s="17">
        <f t="shared" si="4"/>
        <v>-3.707748786958774E-3</v>
      </c>
      <c r="E158" s="17">
        <f t="shared" si="5"/>
        <v>-3.2742184776274152E-3</v>
      </c>
      <c r="F158" s="40"/>
      <c r="G158" s="31"/>
      <c r="H158" s="46"/>
      <c r="I158" s="31"/>
      <c r="J158" s="31"/>
    </row>
    <row r="159" spans="1:10">
      <c r="A159" s="14">
        <v>45856</v>
      </c>
      <c r="B159" s="15">
        <v>72.78</v>
      </c>
      <c r="C159" s="16">
        <v>25623.5</v>
      </c>
      <c r="D159" s="17">
        <f t="shared" si="4"/>
        <v>-5.9513852229127664E-3</v>
      </c>
      <c r="E159" s="17">
        <f t="shared" si="5"/>
        <v>-5.4809674070470408E-3</v>
      </c>
      <c r="F159" s="40"/>
      <c r="G159" s="31"/>
      <c r="H159" s="46"/>
      <c r="I159" s="31"/>
      <c r="J159" s="31"/>
    </row>
    <row r="160" spans="1:10">
      <c r="A160" s="12">
        <v>45859</v>
      </c>
      <c r="B160" s="13">
        <v>73.23</v>
      </c>
      <c r="C160" s="16">
        <v>25745.35</v>
      </c>
      <c r="D160" s="17">
        <f t="shared" si="4"/>
        <v>4.7441291186124815E-3</v>
      </c>
      <c r="E160" s="17">
        <f t="shared" si="5"/>
        <v>6.1639808889645681E-3</v>
      </c>
      <c r="F160" s="40"/>
      <c r="G160" s="31"/>
      <c r="H160" s="46"/>
      <c r="I160" s="31"/>
      <c r="J160" s="31"/>
    </row>
    <row r="161" spans="1:10">
      <c r="A161" s="14">
        <v>45860</v>
      </c>
      <c r="B161" s="15">
        <v>73.239999999999995</v>
      </c>
      <c r="C161" s="16">
        <v>25703.9</v>
      </c>
      <c r="D161" s="17">
        <f t="shared" si="4"/>
        <v>-1.6112969175633262E-3</v>
      </c>
      <c r="E161" s="17">
        <f t="shared" si="5"/>
        <v>1.365467333314248E-4</v>
      </c>
      <c r="F161" s="40"/>
      <c r="G161" s="31"/>
      <c r="H161" s="46"/>
      <c r="I161" s="31"/>
      <c r="J161" s="31"/>
    </row>
    <row r="162" spans="1:10">
      <c r="A162" s="12">
        <v>45861</v>
      </c>
      <c r="B162" s="13">
        <v>73.58</v>
      </c>
      <c r="C162" s="16">
        <v>25846</v>
      </c>
      <c r="D162" s="17">
        <f t="shared" si="4"/>
        <v>5.5131187420769702E-3</v>
      </c>
      <c r="E162" s="17">
        <f t="shared" si="5"/>
        <v>4.6315298703183336E-3</v>
      </c>
      <c r="F162" s="40"/>
      <c r="G162" s="31"/>
      <c r="H162" s="46"/>
      <c r="I162" s="31"/>
      <c r="J162" s="31"/>
    </row>
    <row r="163" spans="1:10">
      <c r="A163" s="14">
        <v>45862</v>
      </c>
      <c r="B163" s="15">
        <v>73.239999999999995</v>
      </c>
      <c r="C163" s="16">
        <v>25701.9</v>
      </c>
      <c r="D163" s="17">
        <f t="shared" si="4"/>
        <v>-5.5909309734207997E-3</v>
      </c>
      <c r="E163" s="17">
        <f t="shared" si="5"/>
        <v>-4.6315298703183561E-3</v>
      </c>
      <c r="F163" s="40"/>
      <c r="G163" s="31"/>
      <c r="H163" s="46"/>
      <c r="I163" s="31"/>
      <c r="J163" s="31"/>
    </row>
    <row r="164" spans="1:10">
      <c r="A164" s="12">
        <v>45863</v>
      </c>
      <c r="B164" s="13">
        <v>72.64</v>
      </c>
      <c r="C164" s="16">
        <v>25442.1</v>
      </c>
      <c r="D164" s="17">
        <f t="shared" si="4"/>
        <v>-1.0159636894676258E-2</v>
      </c>
      <c r="E164" s="17">
        <f t="shared" si="5"/>
        <v>-8.2259855132720185E-3</v>
      </c>
      <c r="F164" s="40"/>
      <c r="G164" s="31"/>
      <c r="H164" s="46"/>
      <c r="I164" s="31"/>
      <c r="J164" s="31"/>
    </row>
    <row r="165" spans="1:10">
      <c r="A165" s="14">
        <v>45866</v>
      </c>
      <c r="B165" s="15">
        <v>72.19</v>
      </c>
      <c r="C165" s="16">
        <v>25285</v>
      </c>
      <c r="D165" s="17">
        <f t="shared" si="4"/>
        <v>-6.193947702956123E-3</v>
      </c>
      <c r="E165" s="17">
        <f t="shared" si="5"/>
        <v>-6.2142021419682777E-3</v>
      </c>
      <c r="F165" s="40"/>
      <c r="G165" s="31"/>
      <c r="H165" s="46"/>
      <c r="I165" s="31"/>
      <c r="J165" s="31"/>
    </row>
    <row r="166" spans="1:10">
      <c r="A166" s="12">
        <v>45867</v>
      </c>
      <c r="B166" s="13">
        <v>72.59</v>
      </c>
      <c r="C166" s="16">
        <v>25443.65</v>
      </c>
      <c r="D166" s="17">
        <f t="shared" si="4"/>
        <v>6.2548684912115014E-3</v>
      </c>
      <c r="E166" s="17">
        <f t="shared" si="5"/>
        <v>5.5256391456796035E-3</v>
      </c>
      <c r="F166" s="40"/>
      <c r="G166" s="31"/>
      <c r="H166" s="46"/>
      <c r="I166" s="31"/>
      <c r="J166" s="31"/>
    </row>
    <row r="167" spans="1:10">
      <c r="A167" s="14">
        <v>45868</v>
      </c>
      <c r="B167" s="15">
        <v>72.81</v>
      </c>
      <c r="C167" s="16">
        <v>25476.05</v>
      </c>
      <c r="D167" s="17">
        <f t="shared" si="4"/>
        <v>1.2725921155317212E-3</v>
      </c>
      <c r="E167" s="17">
        <f t="shared" si="5"/>
        <v>3.0261371098705327E-3</v>
      </c>
      <c r="F167" s="40"/>
      <c r="G167" s="31"/>
      <c r="H167" s="46"/>
      <c r="I167" s="31"/>
      <c r="J167" s="31"/>
    </row>
    <row r="168" spans="1:10">
      <c r="A168" s="12">
        <v>45869</v>
      </c>
      <c r="B168" s="13">
        <v>72.540000000000006</v>
      </c>
      <c r="C168" s="16">
        <v>25380.5</v>
      </c>
      <c r="D168" s="17">
        <f t="shared" si="4"/>
        <v>-3.7576324948859719E-3</v>
      </c>
      <c r="E168" s="17">
        <f t="shared" si="5"/>
        <v>-3.7151745518633197E-3</v>
      </c>
      <c r="F168" s="40"/>
      <c r="G168" s="31"/>
      <c r="H168" s="46"/>
      <c r="I168" s="31"/>
      <c r="J168" s="31"/>
    </row>
    <row r="169" spans="1:10">
      <c r="A169" s="14">
        <v>45870</v>
      </c>
      <c r="B169" s="15">
        <v>71.89</v>
      </c>
      <c r="C169" s="16">
        <v>25149.599999999999</v>
      </c>
      <c r="D169" s="17">
        <f t="shared" si="4"/>
        <v>-9.1391707970992966E-3</v>
      </c>
      <c r="E169" s="17">
        <f t="shared" si="5"/>
        <v>-9.0009608589761685E-3</v>
      </c>
      <c r="F169" s="40"/>
      <c r="G169" s="31"/>
      <c r="H169" s="46"/>
      <c r="I169" s="31"/>
      <c r="J169" s="31"/>
    </row>
    <row r="170" spans="1:10">
      <c r="A170" s="12">
        <v>45873</v>
      </c>
      <c r="B170" s="13">
        <v>72.349999999999994</v>
      </c>
      <c r="C170" s="16">
        <v>25330.2</v>
      </c>
      <c r="D170" s="17">
        <f t="shared" si="4"/>
        <v>7.1553679114678744E-3</v>
      </c>
      <c r="E170" s="17">
        <f t="shared" si="5"/>
        <v>6.3782800817125916E-3</v>
      </c>
      <c r="F170" s="40"/>
      <c r="G170" s="31"/>
      <c r="H170" s="46"/>
      <c r="I170" s="31"/>
      <c r="J170" s="31"/>
    </row>
    <row r="171" spans="1:10">
      <c r="A171" s="14">
        <v>45874</v>
      </c>
      <c r="B171" s="15">
        <v>72.23</v>
      </c>
      <c r="C171" s="16">
        <v>25257.95</v>
      </c>
      <c r="D171" s="17">
        <f t="shared" si="4"/>
        <v>-2.8564021069823601E-3</v>
      </c>
      <c r="E171" s="17">
        <f t="shared" si="5"/>
        <v>-1.6599810147372787E-3</v>
      </c>
      <c r="F171" s="40"/>
      <c r="G171" s="31"/>
      <c r="H171" s="46"/>
      <c r="I171" s="31"/>
      <c r="J171" s="31"/>
    </row>
    <row r="172" spans="1:10">
      <c r="A172" s="12">
        <v>45875</v>
      </c>
      <c r="B172" s="13">
        <v>71.91</v>
      </c>
      <c r="C172" s="16">
        <v>25156.35</v>
      </c>
      <c r="D172" s="17">
        <f t="shared" si="4"/>
        <v>-4.0306078849745878E-3</v>
      </c>
      <c r="E172" s="17">
        <f t="shared" si="5"/>
        <v>-4.4401349483528226E-3</v>
      </c>
      <c r="F172" s="40"/>
      <c r="G172" s="31"/>
      <c r="H172" s="46"/>
      <c r="I172" s="31"/>
      <c r="J172" s="31"/>
    </row>
    <row r="173" spans="1:10">
      <c r="A173" s="14">
        <v>45876</v>
      </c>
      <c r="B173" s="15">
        <v>71.98</v>
      </c>
      <c r="C173" s="16">
        <v>25185.15</v>
      </c>
      <c r="D173" s="17">
        <f t="shared" si="4"/>
        <v>1.1441853398085214E-3</v>
      </c>
      <c r="E173" s="17">
        <f t="shared" si="5"/>
        <v>9.729655364820451E-4</v>
      </c>
      <c r="F173" s="40"/>
      <c r="G173" s="31"/>
      <c r="H173" s="46"/>
      <c r="I173" s="31"/>
      <c r="J173" s="31"/>
    </row>
    <row r="174" spans="1:10">
      <c r="A174" s="12">
        <v>45877</v>
      </c>
      <c r="B174" s="13">
        <v>71.28</v>
      </c>
      <c r="C174" s="16">
        <v>24934.05</v>
      </c>
      <c r="D174" s="17">
        <f t="shared" si="4"/>
        <v>-1.0020195891275235E-2</v>
      </c>
      <c r="E174" s="17">
        <f t="shared" si="5"/>
        <v>-9.772519488330772E-3</v>
      </c>
      <c r="F174" s="40"/>
      <c r="G174" s="31"/>
      <c r="H174" s="46"/>
      <c r="I174" s="31"/>
      <c r="J174" s="31"/>
    </row>
    <row r="175" spans="1:10">
      <c r="A175" s="14">
        <v>45880</v>
      </c>
      <c r="B175" s="15">
        <v>71.930000000000007</v>
      </c>
      <c r="C175" s="16">
        <v>25172.2</v>
      </c>
      <c r="D175" s="17">
        <f t="shared" si="4"/>
        <v>9.5058717544622556E-3</v>
      </c>
      <c r="E175" s="17">
        <f t="shared" si="5"/>
        <v>9.0776407167110894E-3</v>
      </c>
      <c r="F175" s="40"/>
      <c r="G175" s="31"/>
      <c r="H175" s="46"/>
      <c r="I175" s="31"/>
      <c r="J175" s="31"/>
    </row>
    <row r="176" spans="1:10">
      <c r="A176" s="12">
        <v>45881</v>
      </c>
      <c r="B176" s="13">
        <v>71.7</v>
      </c>
      <c r="C176" s="16">
        <v>25085.4</v>
      </c>
      <c r="D176" s="17">
        <f t="shared" si="4"/>
        <v>-3.4542073757938695E-3</v>
      </c>
      <c r="E176" s="17">
        <f t="shared" si="5"/>
        <v>-3.2026762736902807E-3</v>
      </c>
      <c r="F176" s="40"/>
      <c r="G176" s="31"/>
      <c r="H176" s="46"/>
      <c r="I176" s="31"/>
      <c r="J176" s="31"/>
    </row>
    <row r="177" spans="1:10">
      <c r="A177" s="14">
        <v>45882</v>
      </c>
      <c r="B177" s="15">
        <v>72.11</v>
      </c>
      <c r="C177" s="16">
        <v>25223.25</v>
      </c>
      <c r="D177" s="17">
        <f t="shared" si="4"/>
        <v>5.4801846202308345E-3</v>
      </c>
      <c r="E177" s="17">
        <f t="shared" si="5"/>
        <v>5.7019833230934798E-3</v>
      </c>
      <c r="F177" s="40"/>
      <c r="G177" s="31"/>
      <c r="H177" s="46"/>
      <c r="I177" s="31"/>
      <c r="J177" s="31"/>
    </row>
    <row r="178" spans="1:10">
      <c r="A178" s="12">
        <v>45883</v>
      </c>
      <c r="B178" s="13">
        <v>72.14</v>
      </c>
      <c r="C178" s="16">
        <v>25226.25</v>
      </c>
      <c r="D178" s="17">
        <f t="shared" si="4"/>
        <v>1.1893081214033477E-4</v>
      </c>
      <c r="E178" s="17">
        <f t="shared" si="5"/>
        <v>4.1594454672475907E-4</v>
      </c>
      <c r="F178" s="40"/>
      <c r="G178" s="31"/>
      <c r="H178" s="46"/>
      <c r="I178" s="31"/>
      <c r="J178" s="31"/>
    </row>
    <row r="179" spans="1:10">
      <c r="A179" s="14">
        <v>45887</v>
      </c>
      <c r="B179" s="15">
        <v>72.790000000000006</v>
      </c>
      <c r="C179" s="16">
        <v>25492.35</v>
      </c>
      <c r="D179" s="17">
        <f t="shared" si="4"/>
        <v>1.049328812959029E-2</v>
      </c>
      <c r="E179" s="17">
        <f t="shared" si="5"/>
        <v>8.9699076547737587E-3</v>
      </c>
      <c r="F179" s="40"/>
      <c r="G179" s="31"/>
      <c r="H179" s="46"/>
      <c r="I179" s="31"/>
      <c r="J179" s="31"/>
    </row>
    <row r="180" spans="1:10">
      <c r="A180" s="12">
        <v>45888</v>
      </c>
      <c r="B180" s="13">
        <v>73.12</v>
      </c>
      <c r="C180" s="16">
        <v>25613.3</v>
      </c>
      <c r="D180" s="17">
        <f t="shared" si="4"/>
        <v>4.7333406705030185E-3</v>
      </c>
      <c r="E180" s="17">
        <f t="shared" si="5"/>
        <v>4.5233440157279358E-3</v>
      </c>
      <c r="F180" s="40"/>
      <c r="G180" s="31"/>
      <c r="H180" s="46"/>
      <c r="I180" s="31"/>
      <c r="J180" s="31"/>
    </row>
    <row r="181" spans="1:10">
      <c r="A181" s="14">
        <v>45889</v>
      </c>
      <c r="B181" s="15">
        <v>73.39</v>
      </c>
      <c r="C181" s="16">
        <v>25689.3</v>
      </c>
      <c r="D181" s="17">
        <f t="shared" si="4"/>
        <v>2.9628149682751153E-3</v>
      </c>
      <c r="E181" s="17">
        <f t="shared" si="5"/>
        <v>3.6857594110767523E-3</v>
      </c>
      <c r="F181" s="40"/>
      <c r="G181" s="31"/>
      <c r="H181" s="46"/>
      <c r="I181" s="31"/>
      <c r="J181" s="31"/>
    </row>
    <row r="182" spans="1:10">
      <c r="A182" s="12">
        <v>45890</v>
      </c>
      <c r="B182" s="13">
        <v>73.5</v>
      </c>
      <c r="C182" s="16">
        <v>25705.1</v>
      </c>
      <c r="D182" s="17">
        <f t="shared" si="4"/>
        <v>6.1485299946134402E-4</v>
      </c>
      <c r="E182" s="17">
        <f t="shared" si="5"/>
        <v>1.4977196618195193E-3</v>
      </c>
      <c r="F182" s="40"/>
      <c r="G182" s="31"/>
      <c r="H182" s="46"/>
      <c r="I182" s="31"/>
      <c r="J182" s="31"/>
    </row>
    <row r="183" spans="1:10">
      <c r="A183" s="14">
        <v>45891</v>
      </c>
      <c r="B183" s="15">
        <v>73.069999999999993</v>
      </c>
      <c r="C183" s="16">
        <v>25495.599999999999</v>
      </c>
      <c r="D183" s="17">
        <f t="shared" si="4"/>
        <v>-8.1835275371401027E-3</v>
      </c>
      <c r="E183" s="17">
        <f t="shared" si="5"/>
        <v>-5.8675204156646869E-3</v>
      </c>
      <c r="F183" s="40"/>
      <c r="G183" s="31"/>
      <c r="H183" s="46"/>
      <c r="I183" s="31"/>
      <c r="J183" s="31"/>
    </row>
    <row r="184" spans="1:10">
      <c r="A184" s="12">
        <v>45894</v>
      </c>
      <c r="B184" s="13">
        <v>73.239999999999995</v>
      </c>
      <c r="C184" s="16">
        <v>25589.7</v>
      </c>
      <c r="D184" s="17">
        <f t="shared" si="4"/>
        <v>3.6840385170753467E-3</v>
      </c>
      <c r="E184" s="17">
        <f t="shared" si="5"/>
        <v>2.3238340031835106E-3</v>
      </c>
      <c r="F184" s="40"/>
      <c r="G184" s="31"/>
      <c r="H184" s="46"/>
      <c r="I184" s="31"/>
      <c r="J184" s="31"/>
    </row>
    <row r="185" spans="1:10">
      <c r="A185" s="14">
        <v>45895</v>
      </c>
      <c r="B185" s="15">
        <v>72.38</v>
      </c>
      <c r="C185" s="16">
        <v>25313.5</v>
      </c>
      <c r="D185" s="17">
        <f t="shared" si="4"/>
        <v>-1.0852076514304006E-2</v>
      </c>
      <c r="E185" s="17">
        <f t="shared" si="5"/>
        <v>-1.1811701670713522E-2</v>
      </c>
      <c r="F185" s="40"/>
      <c r="G185" s="31"/>
      <c r="H185" s="46"/>
      <c r="I185" s="31"/>
      <c r="J185" s="31"/>
    </row>
    <row r="186" spans="1:10">
      <c r="A186" s="12">
        <v>45897</v>
      </c>
      <c r="B186" s="13">
        <v>71.69</v>
      </c>
      <c r="C186" s="16">
        <v>25078.5</v>
      </c>
      <c r="D186" s="17">
        <f t="shared" si="4"/>
        <v>-9.3269448955757006E-3</v>
      </c>
      <c r="E186" s="17">
        <f t="shared" si="5"/>
        <v>-9.5787502708154313E-3</v>
      </c>
      <c r="F186" s="40"/>
      <c r="G186" s="31"/>
      <c r="H186" s="46"/>
      <c r="I186" s="31"/>
      <c r="J186" s="31"/>
    </row>
    <row r="187" spans="1:10">
      <c r="A187" s="14">
        <v>45898</v>
      </c>
      <c r="B187" s="15">
        <v>71.48</v>
      </c>
      <c r="C187" s="16">
        <v>25003.05</v>
      </c>
      <c r="D187" s="17">
        <f t="shared" si="4"/>
        <v>-3.0130879368674745E-3</v>
      </c>
      <c r="E187" s="17">
        <f t="shared" si="5"/>
        <v>-2.9335775735534423E-3</v>
      </c>
      <c r="F187" s="40"/>
      <c r="G187" s="31"/>
      <c r="H187" s="46"/>
      <c r="I187" s="31"/>
      <c r="J187" s="31"/>
    </row>
    <row r="188" spans="1:10">
      <c r="A188" s="12">
        <v>45901</v>
      </c>
      <c r="B188" s="13">
        <v>72.16</v>
      </c>
      <c r="C188" s="16">
        <v>25231.200000000001</v>
      </c>
      <c r="D188" s="17">
        <f t="shared" si="4"/>
        <v>9.0835065207879456E-3</v>
      </c>
      <c r="E188" s="17">
        <f t="shared" si="5"/>
        <v>9.4681854631407467E-3</v>
      </c>
      <c r="F188" s="40"/>
      <c r="G188" s="31"/>
      <c r="H188" s="46"/>
      <c r="I188" s="31"/>
      <c r="J188" s="31"/>
    </row>
    <row r="189" spans="1:10">
      <c r="A189" s="14">
        <v>45902</v>
      </c>
      <c r="B189" s="15">
        <v>72.06</v>
      </c>
      <c r="C189" s="16">
        <v>25215.05</v>
      </c>
      <c r="D189" s="17">
        <f t="shared" si="4"/>
        <v>-6.4028547421256243E-4</v>
      </c>
      <c r="E189" s="17">
        <f t="shared" si="5"/>
        <v>-1.3867704344210047E-3</v>
      </c>
      <c r="F189" s="40"/>
      <c r="G189" s="31"/>
      <c r="H189" s="46"/>
      <c r="I189" s="31"/>
      <c r="J189" s="31"/>
    </row>
    <row r="190" spans="1:10">
      <c r="A190" s="12">
        <v>45903</v>
      </c>
      <c r="B190" s="13">
        <v>72.41</v>
      </c>
      <c r="C190" s="16">
        <v>25358.9</v>
      </c>
      <c r="D190" s="17">
        <f t="shared" si="4"/>
        <v>5.6887147605826595E-3</v>
      </c>
      <c r="E190" s="17">
        <f t="shared" si="5"/>
        <v>4.8453060807821958E-3</v>
      </c>
      <c r="F190" s="40"/>
      <c r="G190" s="31"/>
      <c r="H190" s="46"/>
      <c r="I190" s="31"/>
      <c r="J190" s="31"/>
    </row>
    <row r="191" spans="1:10">
      <c r="A191" s="14">
        <v>45904</v>
      </c>
      <c r="B191" s="15">
        <v>72.459999999999994</v>
      </c>
      <c r="C191" s="16">
        <v>25355.15</v>
      </c>
      <c r="D191" s="17">
        <f t="shared" si="4"/>
        <v>-1.4788801157999544E-4</v>
      </c>
      <c r="E191" s="17">
        <f t="shared" si="5"/>
        <v>6.9027406620179442E-4</v>
      </c>
      <c r="F191" s="40"/>
      <c r="G191" s="31"/>
      <c r="H191" s="46"/>
      <c r="I191" s="31"/>
      <c r="J191" s="31"/>
    </row>
    <row r="192" spans="1:10">
      <c r="A192" s="12">
        <v>45905</v>
      </c>
      <c r="B192" s="13">
        <v>72.38</v>
      </c>
      <c r="C192" s="16">
        <v>25356.85</v>
      </c>
      <c r="D192" s="17">
        <f t="shared" si="4"/>
        <v>6.7045275304962698E-5</v>
      </c>
      <c r="E192" s="17">
        <f t="shared" si="5"/>
        <v>-1.1046673313347176E-3</v>
      </c>
      <c r="F192" s="40"/>
      <c r="G192" s="31"/>
      <c r="H192" s="46"/>
      <c r="I192" s="31"/>
      <c r="J192" s="31"/>
    </row>
    <row r="193" spans="1:10">
      <c r="A193" s="14">
        <v>45908</v>
      </c>
      <c r="B193" s="15">
        <v>72.5</v>
      </c>
      <c r="C193" s="16">
        <v>25402</v>
      </c>
      <c r="D193" s="17">
        <f t="shared" si="4"/>
        <v>1.7790005844389393E-3</v>
      </c>
      <c r="E193" s="17">
        <f t="shared" si="5"/>
        <v>1.6565437250327202E-3</v>
      </c>
      <c r="F193" s="40"/>
      <c r="G193" s="31"/>
      <c r="H193" s="46"/>
      <c r="I193" s="31"/>
      <c r="J193" s="31"/>
    </row>
    <row r="194" spans="1:10">
      <c r="A194" s="12">
        <v>45909</v>
      </c>
      <c r="B194" s="13">
        <v>72.680000000000007</v>
      </c>
      <c r="C194" s="16">
        <v>25489.200000000001</v>
      </c>
      <c r="D194" s="17">
        <f t="shared" si="4"/>
        <v>3.4269219565747711E-3</v>
      </c>
      <c r="E194" s="17">
        <f t="shared" si="5"/>
        <v>2.4796816673413836E-3</v>
      </c>
      <c r="F194" s="40"/>
      <c r="G194" s="31"/>
      <c r="H194" s="46"/>
      <c r="I194" s="31"/>
      <c r="J194" s="31"/>
    </row>
    <row r="195" spans="1:10">
      <c r="A195" s="14">
        <v>45910</v>
      </c>
      <c r="B195" s="15">
        <v>72.989999999999995</v>
      </c>
      <c r="C195" s="16">
        <v>25596.95</v>
      </c>
      <c r="D195" s="17">
        <f t="shared" si="4"/>
        <v>4.2183707240061328E-3</v>
      </c>
      <c r="E195" s="17">
        <f t="shared" si="5"/>
        <v>4.2562019355704269E-3</v>
      </c>
      <c r="F195" s="40"/>
      <c r="G195" s="31"/>
      <c r="H195" s="46"/>
      <c r="I195" s="31"/>
      <c r="J195" s="31"/>
    </row>
    <row r="196" spans="1:10">
      <c r="A196" s="12">
        <v>45911</v>
      </c>
      <c r="B196" s="13">
        <v>73.05</v>
      </c>
      <c r="C196" s="16">
        <v>25638.75</v>
      </c>
      <c r="D196" s="17">
        <f t="shared" ref="D196:D248" si="6">LN(C196/C195)</f>
        <v>1.6316751512676052E-3</v>
      </c>
      <c r="E196" s="17">
        <f t="shared" ref="E196:E248" si="7">LN(B196/B195)</f>
        <v>8.2169273316760069E-4</v>
      </c>
      <c r="F196" s="40"/>
      <c r="G196" s="31"/>
      <c r="H196" s="46"/>
      <c r="I196" s="31"/>
      <c r="J196" s="31"/>
    </row>
    <row r="197" spans="1:10">
      <c r="A197" s="14">
        <v>45912</v>
      </c>
      <c r="B197" s="15">
        <v>73.319999999999993</v>
      </c>
      <c r="C197" s="16">
        <v>25745.1</v>
      </c>
      <c r="D197" s="17">
        <f t="shared" si="6"/>
        <v>4.1394388259534355E-3</v>
      </c>
      <c r="E197" s="17">
        <f t="shared" si="7"/>
        <v>3.6892847747956427E-3</v>
      </c>
      <c r="F197" s="40"/>
      <c r="G197" s="31"/>
      <c r="H197" s="46"/>
      <c r="I197" s="31"/>
      <c r="J197" s="31"/>
    </row>
    <row r="198" spans="1:10">
      <c r="A198" s="12">
        <v>45915</v>
      </c>
      <c r="B198" s="13">
        <v>73.33</v>
      </c>
      <c r="C198" s="16">
        <v>25733.55</v>
      </c>
      <c r="D198" s="17">
        <f t="shared" si="6"/>
        <v>-4.4872972363525369E-4</v>
      </c>
      <c r="E198" s="17">
        <f t="shared" si="7"/>
        <v>1.3637913420399609E-4</v>
      </c>
      <c r="F198" s="40"/>
      <c r="G198" s="31"/>
      <c r="H198" s="46"/>
      <c r="I198" s="31"/>
      <c r="J198" s="31"/>
    </row>
    <row r="199" spans="1:10">
      <c r="A199" s="14">
        <v>45916</v>
      </c>
      <c r="B199" s="15">
        <v>73.790000000000006</v>
      </c>
      <c r="C199" s="16">
        <v>25903.55</v>
      </c>
      <c r="D199" s="17">
        <f t="shared" si="6"/>
        <v>6.5844369336268546E-3</v>
      </c>
      <c r="E199" s="17">
        <f t="shared" si="7"/>
        <v>6.2534189645672023E-3</v>
      </c>
      <c r="F199" s="40"/>
      <c r="G199" s="31"/>
      <c r="H199" s="46"/>
      <c r="I199" s="31"/>
      <c r="J199" s="31"/>
    </row>
    <row r="200" spans="1:10">
      <c r="A200" s="12">
        <v>45917</v>
      </c>
      <c r="B200" s="13">
        <v>74.09</v>
      </c>
      <c r="C200" s="16">
        <v>25990.45</v>
      </c>
      <c r="D200" s="17">
        <f t="shared" si="6"/>
        <v>3.349137905259585E-3</v>
      </c>
      <c r="E200" s="17">
        <f t="shared" si="7"/>
        <v>4.0573493582901268E-3</v>
      </c>
      <c r="F200" s="40"/>
      <c r="G200" s="31"/>
      <c r="H200" s="46"/>
      <c r="I200" s="31"/>
      <c r="J200" s="31"/>
    </row>
    <row r="201" spans="1:10">
      <c r="A201" s="14">
        <v>45918</v>
      </c>
      <c r="B201" s="15">
        <v>74.33</v>
      </c>
      <c r="C201" s="16">
        <v>26081.85</v>
      </c>
      <c r="D201" s="17">
        <f t="shared" si="6"/>
        <v>3.5105072702837029E-3</v>
      </c>
      <c r="E201" s="17">
        <f t="shared" si="7"/>
        <v>3.2340683086364381E-3</v>
      </c>
      <c r="F201" s="40"/>
      <c r="G201" s="31"/>
      <c r="H201" s="46"/>
      <c r="I201" s="31"/>
      <c r="J201" s="31"/>
    </row>
    <row r="202" spans="1:10">
      <c r="A202" s="12">
        <v>45919</v>
      </c>
      <c r="B202" s="13">
        <v>74.099999999999994</v>
      </c>
      <c r="C202" s="16">
        <v>26025.85</v>
      </c>
      <c r="D202" s="17">
        <f t="shared" si="6"/>
        <v>-2.1493952548099575E-3</v>
      </c>
      <c r="E202" s="17">
        <f t="shared" si="7"/>
        <v>-3.0991064351609228E-3</v>
      </c>
      <c r="F202" s="40"/>
      <c r="G202" s="31"/>
      <c r="H202" s="46"/>
      <c r="I202" s="31"/>
      <c r="J202" s="31"/>
    </row>
    <row r="203" spans="1:10">
      <c r="A203" s="14">
        <v>45922</v>
      </c>
      <c r="B203" s="15">
        <v>73.819999999999993</v>
      </c>
      <c r="C203" s="16">
        <v>25934.5</v>
      </c>
      <c r="D203" s="17">
        <f t="shared" si="6"/>
        <v>-3.5161462197802703E-3</v>
      </c>
      <c r="E203" s="17">
        <f t="shared" si="7"/>
        <v>-3.7858347001886597E-3</v>
      </c>
      <c r="F203" s="40"/>
      <c r="G203" s="31"/>
      <c r="H203" s="46"/>
      <c r="I203" s="31"/>
      <c r="J203" s="31"/>
    </row>
    <row r="204" spans="1:10">
      <c r="A204" s="12">
        <v>45923</v>
      </c>
      <c r="B204" s="13">
        <v>73.66</v>
      </c>
      <c r="C204" s="16">
        <v>25886</v>
      </c>
      <c r="D204" s="17">
        <f t="shared" si="6"/>
        <v>-1.8718466306280822E-3</v>
      </c>
      <c r="E204" s="17">
        <f t="shared" si="7"/>
        <v>-2.1697865849331982E-3</v>
      </c>
      <c r="F204" s="40"/>
      <c r="G204" s="31"/>
      <c r="H204" s="46"/>
      <c r="I204" s="31"/>
      <c r="J204" s="31"/>
    </row>
    <row r="205" spans="1:10">
      <c r="A205" s="14">
        <v>45924</v>
      </c>
      <c r="B205" s="15">
        <v>73.23</v>
      </c>
      <c r="C205" s="16">
        <v>25736.35</v>
      </c>
      <c r="D205" s="17">
        <f t="shared" si="6"/>
        <v>-5.797892549013646E-3</v>
      </c>
      <c r="E205" s="17">
        <f t="shared" si="7"/>
        <v>-5.8547379439408001E-3</v>
      </c>
      <c r="F205" s="40"/>
      <c r="G205" s="31"/>
      <c r="H205" s="46"/>
      <c r="I205" s="31"/>
      <c r="J205" s="31"/>
    </row>
    <row r="206" spans="1:10">
      <c r="A206" s="12">
        <v>45925</v>
      </c>
      <c r="B206" s="13">
        <v>72.77</v>
      </c>
      <c r="C206" s="16">
        <v>25562</v>
      </c>
      <c r="D206" s="17">
        <f t="shared" si="6"/>
        <v>-6.7975157617101295E-3</v>
      </c>
      <c r="E206" s="17">
        <f t="shared" si="7"/>
        <v>-6.3013907139834163E-3</v>
      </c>
      <c r="F206" s="40"/>
      <c r="G206" s="31"/>
      <c r="H206" s="46"/>
      <c r="I206" s="31"/>
      <c r="J206" s="31"/>
    </row>
    <row r="207" spans="1:10">
      <c r="A207" s="14">
        <v>45926</v>
      </c>
      <c r="B207" s="15">
        <v>71.91</v>
      </c>
      <c r="C207" s="16">
        <v>25287.1</v>
      </c>
      <c r="D207" s="17">
        <f t="shared" si="6"/>
        <v>-1.0812489432708856E-2</v>
      </c>
      <c r="E207" s="17">
        <f t="shared" si="7"/>
        <v>-1.1888445244592424E-2</v>
      </c>
      <c r="F207" s="40"/>
      <c r="G207" s="31"/>
      <c r="H207" s="46"/>
      <c r="I207" s="31"/>
      <c r="J207" s="31"/>
    </row>
    <row r="208" spans="1:10">
      <c r="A208" s="12">
        <v>45929</v>
      </c>
      <c r="B208" s="13">
        <v>72.03</v>
      </c>
      <c r="C208" s="16">
        <v>25314.85</v>
      </c>
      <c r="D208" s="17">
        <f t="shared" si="6"/>
        <v>1.0967957867966435E-3</v>
      </c>
      <c r="E208" s="17">
        <f t="shared" si="7"/>
        <v>1.6673617868688513E-3</v>
      </c>
      <c r="F208" s="40"/>
      <c r="G208" s="31"/>
      <c r="H208" s="46"/>
      <c r="I208" s="31"/>
      <c r="J208" s="31"/>
    </row>
    <row r="209" spans="1:10">
      <c r="A209" s="14">
        <v>45930</v>
      </c>
      <c r="B209" s="15">
        <v>71.95</v>
      </c>
      <c r="C209" s="16">
        <v>25295.15</v>
      </c>
      <c r="D209" s="17">
        <f t="shared" si="6"/>
        <v>-7.7850231159677945E-4</v>
      </c>
      <c r="E209" s="17">
        <f t="shared" si="7"/>
        <v>-1.1112655678946466E-3</v>
      </c>
      <c r="F209" s="40"/>
      <c r="G209" s="31"/>
      <c r="H209" s="46"/>
      <c r="I209" s="31"/>
      <c r="J209" s="31"/>
    </row>
    <row r="210" spans="1:10">
      <c r="A210" s="12">
        <v>45931</v>
      </c>
      <c r="B210" s="13">
        <v>72.45</v>
      </c>
      <c r="C210" s="16">
        <v>25502.95</v>
      </c>
      <c r="D210" s="17">
        <f t="shared" si="6"/>
        <v>8.1814539957355235E-3</v>
      </c>
      <c r="E210" s="17">
        <f t="shared" si="7"/>
        <v>6.9252354333144877E-3</v>
      </c>
      <c r="F210" s="40"/>
      <c r="G210" s="31"/>
      <c r="H210" s="46"/>
      <c r="I210" s="31"/>
      <c r="J210" s="31"/>
    </row>
    <row r="211" spans="1:10">
      <c r="A211" s="14">
        <v>45933</v>
      </c>
      <c r="B211" s="15">
        <v>72.59</v>
      </c>
      <c r="C211" s="16">
        <v>25569.3</v>
      </c>
      <c r="D211" s="17">
        <f t="shared" si="6"/>
        <v>2.5982813495690747E-3</v>
      </c>
      <c r="E211" s="17">
        <f t="shared" si="7"/>
        <v>1.930502530057845E-3</v>
      </c>
      <c r="F211" s="40"/>
      <c r="G211" s="31"/>
      <c r="H211" s="46"/>
      <c r="I211" s="31"/>
      <c r="J211" s="31"/>
    </row>
    <row r="212" spans="1:10">
      <c r="A212" s="12">
        <v>45936</v>
      </c>
      <c r="B212" s="13">
        <v>73.12</v>
      </c>
      <c r="C212" s="16">
        <v>25740.95</v>
      </c>
      <c r="D212" s="17">
        <f t="shared" si="6"/>
        <v>6.6906959265034408E-3</v>
      </c>
      <c r="E212" s="17">
        <f t="shared" si="7"/>
        <v>7.2747558491452593E-3</v>
      </c>
      <c r="F212" s="40"/>
      <c r="G212" s="31"/>
      <c r="H212" s="46"/>
      <c r="I212" s="31"/>
      <c r="J212" s="31"/>
    </row>
    <row r="213" spans="1:10">
      <c r="A213" s="14">
        <v>45937</v>
      </c>
      <c r="B213" s="15">
        <v>73.260000000000005</v>
      </c>
      <c r="C213" s="16">
        <v>25772.25</v>
      </c>
      <c r="D213" s="17">
        <f t="shared" si="6"/>
        <v>1.2152226556259643E-3</v>
      </c>
      <c r="E213" s="17">
        <f t="shared" si="7"/>
        <v>1.9128302047738256E-3</v>
      </c>
      <c r="F213" s="40"/>
      <c r="G213" s="31"/>
      <c r="H213" s="46"/>
      <c r="I213" s="31"/>
      <c r="J213" s="31"/>
    </row>
    <row r="214" spans="1:10">
      <c r="A214" s="12">
        <v>45938</v>
      </c>
      <c r="B214" s="13">
        <v>73.040000000000006</v>
      </c>
      <c r="C214" s="16">
        <v>25685.9</v>
      </c>
      <c r="D214" s="17">
        <f t="shared" si="6"/>
        <v>-3.3561284675395517E-3</v>
      </c>
      <c r="E214" s="17">
        <f t="shared" si="7"/>
        <v>-3.007521063955217E-3</v>
      </c>
      <c r="F214" s="40"/>
      <c r="G214" s="31"/>
      <c r="H214" s="46"/>
      <c r="I214" s="31"/>
      <c r="J214" s="31"/>
    </row>
    <row r="215" spans="1:10">
      <c r="A215" s="14">
        <v>45939</v>
      </c>
      <c r="B215" s="15">
        <v>73.41</v>
      </c>
      <c r="C215" s="16">
        <v>25825.7</v>
      </c>
      <c r="D215" s="17">
        <f t="shared" si="6"/>
        <v>5.4279169443549706E-3</v>
      </c>
      <c r="E215" s="17">
        <f t="shared" si="7"/>
        <v>5.0529298359769208E-3</v>
      </c>
      <c r="F215" s="40"/>
      <c r="G215" s="31"/>
      <c r="H215" s="46"/>
      <c r="I215" s="31"/>
      <c r="J215" s="31"/>
    </row>
    <row r="216" spans="1:10">
      <c r="A216" s="12">
        <v>45940</v>
      </c>
      <c r="B216" s="13">
        <v>73.709999999999994</v>
      </c>
      <c r="C216" s="16">
        <v>25924.75</v>
      </c>
      <c r="D216" s="17">
        <f t="shared" si="6"/>
        <v>3.8279907112888064E-3</v>
      </c>
      <c r="E216" s="17">
        <f t="shared" si="7"/>
        <v>4.0783090785073747E-3</v>
      </c>
      <c r="F216" s="40"/>
      <c r="G216" s="31"/>
      <c r="H216" s="46"/>
      <c r="I216" s="31"/>
      <c r="J216" s="31"/>
    </row>
    <row r="217" spans="1:10">
      <c r="A217" s="14">
        <v>45943</v>
      </c>
      <c r="B217" s="15">
        <v>73.56</v>
      </c>
      <c r="C217" s="16">
        <v>25867.75</v>
      </c>
      <c r="D217" s="17">
        <f t="shared" si="6"/>
        <v>-2.2010917801929711E-3</v>
      </c>
      <c r="E217" s="17">
        <f t="shared" si="7"/>
        <v>-2.0370754650770157E-3</v>
      </c>
      <c r="F217" s="40"/>
      <c r="G217" s="31"/>
      <c r="H217" s="46"/>
      <c r="I217" s="31"/>
      <c r="J217" s="31"/>
    </row>
    <row r="218" spans="1:10">
      <c r="A218" s="12">
        <v>45944</v>
      </c>
      <c r="B218" s="13">
        <v>73.34</v>
      </c>
      <c r="C218" s="16">
        <v>25775.15</v>
      </c>
      <c r="D218" s="17">
        <f t="shared" si="6"/>
        <v>-3.5861696086407439E-3</v>
      </c>
      <c r="E218" s="17">
        <f t="shared" si="7"/>
        <v>-2.9952370929403273E-3</v>
      </c>
      <c r="F218" s="40"/>
      <c r="G218" s="31"/>
      <c r="H218" s="46"/>
      <c r="I218" s="31"/>
      <c r="J218" s="31"/>
    </row>
    <row r="219" spans="1:10">
      <c r="A219" s="14">
        <v>45945</v>
      </c>
      <c r="B219" s="15">
        <v>73.900000000000006</v>
      </c>
      <c r="C219" s="16">
        <v>25984.05</v>
      </c>
      <c r="D219" s="17">
        <f t="shared" si="6"/>
        <v>8.0720387597814115E-3</v>
      </c>
      <c r="E219" s="17">
        <f t="shared" si="7"/>
        <v>7.6066653109760941E-3</v>
      </c>
      <c r="F219" s="40"/>
      <c r="G219" s="31"/>
      <c r="H219" s="46"/>
      <c r="I219" s="31"/>
      <c r="J219" s="31"/>
    </row>
    <row r="220" spans="1:10">
      <c r="A220" s="12">
        <v>45946</v>
      </c>
      <c r="B220" s="13">
        <v>74.599999999999994</v>
      </c>
      <c r="C220" s="16">
        <v>26229.200000000001</v>
      </c>
      <c r="D220" s="17">
        <f t="shared" si="6"/>
        <v>9.3904057470297307E-3</v>
      </c>
      <c r="E220" s="17">
        <f t="shared" si="7"/>
        <v>9.4276792555588254E-3</v>
      </c>
      <c r="F220" s="40"/>
      <c r="G220" s="31"/>
      <c r="H220" s="46"/>
      <c r="I220" s="31"/>
      <c r="J220" s="31"/>
    </row>
    <row r="221" spans="1:10">
      <c r="A221" s="14">
        <v>45947</v>
      </c>
      <c r="B221" s="15">
        <v>74.900000000000006</v>
      </c>
      <c r="C221" s="16">
        <v>26329.8</v>
      </c>
      <c r="D221" s="17">
        <f t="shared" si="6"/>
        <v>3.8280835956243922E-3</v>
      </c>
      <c r="E221" s="17">
        <f t="shared" si="7"/>
        <v>4.0133833134587413E-3</v>
      </c>
      <c r="F221" s="40"/>
      <c r="G221" s="31"/>
      <c r="H221" s="46"/>
      <c r="I221" s="31"/>
      <c r="J221" s="31"/>
    </row>
    <row r="222" spans="1:10">
      <c r="A222" s="12">
        <v>45950</v>
      </c>
      <c r="B222" s="13">
        <v>75.11</v>
      </c>
      <c r="C222" s="16">
        <v>26449.75</v>
      </c>
      <c r="D222" s="17">
        <f t="shared" si="6"/>
        <v>4.5453288826445776E-3</v>
      </c>
      <c r="E222" s="17">
        <f t="shared" si="7"/>
        <v>2.7998151747464263E-3</v>
      </c>
      <c r="F222" s="40"/>
      <c r="G222" s="31"/>
      <c r="H222" s="46"/>
      <c r="I222" s="31"/>
      <c r="J222" s="31"/>
    </row>
    <row r="223" spans="1:10">
      <c r="A223" s="14">
        <v>45953</v>
      </c>
      <c r="B223" s="15">
        <v>75.150000000000006</v>
      </c>
      <c r="C223" s="16">
        <v>26490.05</v>
      </c>
      <c r="D223" s="17">
        <f t="shared" si="6"/>
        <v>1.522484323117048E-3</v>
      </c>
      <c r="E223" s="17">
        <f t="shared" si="7"/>
        <v>5.3241050106325532E-4</v>
      </c>
      <c r="F223" s="40"/>
      <c r="G223" s="31"/>
      <c r="H223" s="46"/>
      <c r="I223" s="31"/>
      <c r="J223" s="31"/>
    </row>
    <row r="224" spans="1:10">
      <c r="A224" s="12">
        <v>45954</v>
      </c>
      <c r="B224" s="13">
        <v>74.95</v>
      </c>
      <c r="C224" s="16">
        <v>26402.799999999999</v>
      </c>
      <c r="D224" s="17">
        <f t="shared" si="6"/>
        <v>-3.2991256526131185E-3</v>
      </c>
      <c r="E224" s="17">
        <f t="shared" si="7"/>
        <v>-2.6648916503768565E-3</v>
      </c>
      <c r="F224" s="40"/>
      <c r="G224" s="31"/>
      <c r="H224" s="46"/>
      <c r="I224" s="31"/>
      <c r="J224" s="31"/>
    </row>
    <row r="225" spans="1:10">
      <c r="A225" s="14">
        <v>45957</v>
      </c>
      <c r="B225" s="15">
        <v>75.42</v>
      </c>
      <c r="C225" s="16">
        <v>26565</v>
      </c>
      <c r="D225" s="17">
        <f t="shared" si="6"/>
        <v>6.1244947686039724E-3</v>
      </c>
      <c r="E225" s="17">
        <f t="shared" si="7"/>
        <v>6.2512672816043167E-3</v>
      </c>
      <c r="F225" s="40"/>
      <c r="G225" s="31"/>
      <c r="H225" s="46"/>
      <c r="I225" s="31"/>
      <c r="J225" s="31"/>
    </row>
    <row r="226" spans="1:10">
      <c r="A226" s="12">
        <v>45958</v>
      </c>
      <c r="B226" s="13">
        <v>75.260000000000005</v>
      </c>
      <c r="C226" s="16">
        <v>26517.45</v>
      </c>
      <c r="D226" s="17">
        <f t="shared" si="6"/>
        <v>-1.7915530544760562E-3</v>
      </c>
      <c r="E226" s="17">
        <f t="shared" si="7"/>
        <v>-2.1237066649198652E-3</v>
      </c>
      <c r="F226" s="40"/>
      <c r="G226" s="31"/>
      <c r="H226" s="46"/>
      <c r="I226" s="31"/>
      <c r="J226" s="31"/>
    </row>
    <row r="227" spans="1:10">
      <c r="A227" s="14">
        <v>45959</v>
      </c>
      <c r="B227" s="15">
        <v>75.64</v>
      </c>
      <c r="C227" s="16">
        <v>26679.25</v>
      </c>
      <c r="D227" s="17">
        <f t="shared" si="6"/>
        <v>6.0831028593446934E-3</v>
      </c>
      <c r="E227" s="17">
        <f t="shared" si="7"/>
        <v>5.0364586249654047E-3</v>
      </c>
      <c r="F227" s="40"/>
      <c r="G227" s="31"/>
      <c r="H227" s="46"/>
      <c r="I227" s="31"/>
      <c r="J227" s="31"/>
    </row>
    <row r="228" spans="1:10">
      <c r="A228" s="12">
        <v>45960</v>
      </c>
      <c r="B228" s="13">
        <v>75.28</v>
      </c>
      <c r="C228" s="16">
        <v>26518.85</v>
      </c>
      <c r="D228" s="17">
        <f t="shared" si="6"/>
        <v>-6.0303088295830375E-3</v>
      </c>
      <c r="E228" s="17">
        <f t="shared" si="7"/>
        <v>-4.7707485131325807E-3</v>
      </c>
      <c r="F228" s="40"/>
      <c r="G228" s="31"/>
      <c r="H228" s="46"/>
      <c r="I228" s="31"/>
      <c r="J228" s="31"/>
    </row>
    <row r="229" spans="1:10">
      <c r="A229" s="14">
        <v>45961</v>
      </c>
      <c r="B229" s="15">
        <v>74.81</v>
      </c>
      <c r="C229" s="16">
        <v>26369.5</v>
      </c>
      <c r="D229" s="17">
        <f t="shared" si="6"/>
        <v>-5.6477616332204035E-3</v>
      </c>
      <c r="E229" s="17">
        <f t="shared" si="7"/>
        <v>-6.2629293928106056E-3</v>
      </c>
      <c r="F229" s="40"/>
      <c r="G229" s="31"/>
      <c r="H229" s="46"/>
      <c r="I229" s="31"/>
      <c r="J229" s="31"/>
    </row>
    <row r="230" spans="1:10">
      <c r="A230" s="12">
        <v>45964</v>
      </c>
      <c r="B230" s="13">
        <v>75.06</v>
      </c>
      <c r="C230" s="16">
        <v>26445.85</v>
      </c>
      <c r="D230" s="17">
        <f t="shared" si="6"/>
        <v>2.8912069383094817E-3</v>
      </c>
      <c r="E230" s="17">
        <f t="shared" si="7"/>
        <v>3.3362278225613244E-3</v>
      </c>
      <c r="F230" s="40"/>
      <c r="G230" s="31"/>
      <c r="H230" s="46"/>
      <c r="I230" s="31"/>
      <c r="J230" s="31"/>
    </row>
    <row r="231" spans="1:10">
      <c r="A231" s="14">
        <v>45965</v>
      </c>
      <c r="B231" s="15">
        <v>74.680000000000007</v>
      </c>
      <c r="C231" s="16">
        <v>26284.45</v>
      </c>
      <c r="D231" s="17">
        <f t="shared" si="6"/>
        <v>-6.1217366124333749E-3</v>
      </c>
      <c r="E231" s="17">
        <f t="shared" si="7"/>
        <v>-5.0754750333528642E-3</v>
      </c>
      <c r="F231" s="40"/>
      <c r="G231" s="31"/>
      <c r="H231" s="46"/>
      <c r="I231" s="31"/>
      <c r="J231" s="31"/>
    </row>
    <row r="232" spans="1:10">
      <c r="A232" s="12">
        <v>45967</v>
      </c>
      <c r="B232" s="13">
        <v>74.27</v>
      </c>
      <c r="C232" s="16">
        <v>26154.95</v>
      </c>
      <c r="D232" s="17">
        <f t="shared" si="6"/>
        <v>-4.9390444304677206E-3</v>
      </c>
      <c r="E232" s="17">
        <f t="shared" si="7"/>
        <v>-5.5052169923169181E-3</v>
      </c>
      <c r="F232" s="40"/>
      <c r="G232" s="31"/>
      <c r="H232" s="46"/>
      <c r="I232" s="31"/>
      <c r="J232" s="31"/>
    </row>
    <row r="233" spans="1:10">
      <c r="A233" s="14">
        <v>45968</v>
      </c>
      <c r="B233" s="15">
        <v>74.19</v>
      </c>
      <c r="C233" s="16">
        <v>26144.2</v>
      </c>
      <c r="D233" s="17">
        <f t="shared" si="6"/>
        <v>-4.1109655324788528E-4</v>
      </c>
      <c r="E233" s="17">
        <f t="shared" si="7"/>
        <v>-1.0777314797705416E-3</v>
      </c>
      <c r="F233" s="40"/>
      <c r="G233" s="31"/>
      <c r="H233" s="46"/>
      <c r="I233" s="31"/>
      <c r="J233" s="31"/>
    </row>
    <row r="234" spans="1:10">
      <c r="A234" s="12">
        <v>45971</v>
      </c>
      <c r="B234" s="13">
        <v>74.45</v>
      </c>
      <c r="C234" s="16">
        <v>26230.799999999999</v>
      </c>
      <c r="D234" s="17">
        <f t="shared" si="6"/>
        <v>3.3069242546875308E-3</v>
      </c>
      <c r="E234" s="17">
        <f t="shared" si="7"/>
        <v>3.4983889285834951E-3</v>
      </c>
      <c r="F234" s="40"/>
      <c r="G234" s="31"/>
      <c r="H234" s="46"/>
      <c r="I234" s="31"/>
      <c r="J234" s="31"/>
    </row>
    <row r="235" spans="1:10">
      <c r="A235" s="14">
        <v>45972</v>
      </c>
      <c r="B235" s="15">
        <v>74.73</v>
      </c>
      <c r="C235" s="16">
        <v>26340</v>
      </c>
      <c r="D235" s="17">
        <f t="shared" si="6"/>
        <v>4.1544034733150001E-3</v>
      </c>
      <c r="E235" s="17">
        <f t="shared" si="7"/>
        <v>3.7538588121807976E-3</v>
      </c>
      <c r="F235" s="40"/>
      <c r="G235" s="31"/>
      <c r="H235" s="46"/>
      <c r="I235" s="31"/>
      <c r="J235" s="31"/>
    </row>
    <row r="236" spans="1:10">
      <c r="A236" s="12">
        <v>45973</v>
      </c>
      <c r="B236" s="13">
        <v>74.98</v>
      </c>
      <c r="C236" s="16">
        <v>26500</v>
      </c>
      <c r="D236" s="17">
        <f t="shared" si="6"/>
        <v>6.0560366770416093E-3</v>
      </c>
      <c r="E236" s="17">
        <f t="shared" si="7"/>
        <v>3.339793365567141E-3</v>
      </c>
      <c r="F236" s="40"/>
      <c r="G236" s="31"/>
      <c r="H236" s="46"/>
      <c r="I236" s="31"/>
      <c r="J236" s="31"/>
    </row>
    <row r="237" spans="1:10">
      <c r="A237" s="14">
        <v>45974</v>
      </c>
      <c r="B237" s="15">
        <v>74.94</v>
      </c>
      <c r="C237" s="16">
        <v>26505.599999999999</v>
      </c>
      <c r="D237" s="17">
        <f t="shared" si="6"/>
        <v>2.1129842963139725E-4</v>
      </c>
      <c r="E237" s="17">
        <f t="shared" si="7"/>
        <v>-5.3361794222476589E-4</v>
      </c>
      <c r="F237" s="40"/>
      <c r="G237" s="31"/>
      <c r="H237" s="46"/>
      <c r="I237" s="31"/>
      <c r="J237" s="31"/>
    </row>
    <row r="238" spans="1:10">
      <c r="A238" s="12">
        <v>45975</v>
      </c>
      <c r="B238" s="13">
        <v>75.02</v>
      </c>
      <c r="C238" s="16">
        <v>26528</v>
      </c>
      <c r="D238" s="17">
        <f t="shared" si="6"/>
        <v>8.4474753107653623E-4</v>
      </c>
      <c r="E238" s="17">
        <f t="shared" si="7"/>
        <v>1.0669512881998711E-3</v>
      </c>
      <c r="F238" s="40"/>
      <c r="G238" s="31"/>
      <c r="H238" s="46"/>
      <c r="I238" s="31"/>
      <c r="J238" s="31"/>
    </row>
    <row r="239" spans="1:10">
      <c r="A239" s="14">
        <v>45978</v>
      </c>
      <c r="B239" s="15">
        <v>75.39</v>
      </c>
      <c r="C239" s="16">
        <v>26639.4</v>
      </c>
      <c r="D239" s="17">
        <f t="shared" si="6"/>
        <v>4.1905439431455917E-3</v>
      </c>
      <c r="E239" s="17">
        <f t="shared" si="7"/>
        <v>4.9198955698692417E-3</v>
      </c>
      <c r="F239" s="40"/>
      <c r="G239" s="31"/>
      <c r="H239" s="46"/>
      <c r="I239" s="31"/>
      <c r="J239" s="31"/>
    </row>
    <row r="240" spans="1:10">
      <c r="A240" s="12">
        <v>45979</v>
      </c>
      <c r="B240" s="13">
        <v>75.02</v>
      </c>
      <c r="C240" s="16">
        <v>26519</v>
      </c>
      <c r="D240" s="17">
        <f t="shared" si="6"/>
        <v>-4.5298656799584282E-3</v>
      </c>
      <c r="E240" s="17">
        <f t="shared" si="7"/>
        <v>-4.9198955698693319E-3</v>
      </c>
      <c r="F240" s="40"/>
      <c r="G240" s="31"/>
      <c r="H240" s="46"/>
      <c r="I240" s="31"/>
      <c r="J240" s="31"/>
    </row>
    <row r="241" spans="1:10">
      <c r="A241" s="14">
        <v>45980</v>
      </c>
      <c r="B241" s="15">
        <v>75.39</v>
      </c>
      <c r="C241" s="16">
        <v>26640.5</v>
      </c>
      <c r="D241" s="17">
        <f t="shared" si="6"/>
        <v>4.5711570487542916E-3</v>
      </c>
      <c r="E241" s="17">
        <f t="shared" si="7"/>
        <v>4.9198955698692417E-3</v>
      </c>
      <c r="F241" s="40"/>
      <c r="G241" s="31"/>
      <c r="H241" s="46"/>
      <c r="I241" s="31"/>
      <c r="J241" s="31"/>
    </row>
    <row r="242" spans="1:10">
      <c r="A242" s="12">
        <v>45981</v>
      </c>
      <c r="B242" s="13">
        <v>75.72</v>
      </c>
      <c r="C242" s="16">
        <v>26755.5</v>
      </c>
      <c r="D242" s="17">
        <f t="shared" si="6"/>
        <v>4.3074454195047539E-3</v>
      </c>
      <c r="E242" s="17">
        <f t="shared" si="7"/>
        <v>4.3676861175115005E-3</v>
      </c>
      <c r="F242" s="40"/>
      <c r="G242" s="31"/>
      <c r="H242" s="46"/>
      <c r="I242" s="31"/>
      <c r="J242" s="31"/>
    </row>
    <row r="243" spans="1:10">
      <c r="A243" s="14">
        <v>45982</v>
      </c>
      <c r="B243" s="15">
        <v>75.34</v>
      </c>
      <c r="C243" s="16">
        <v>26593.200000000001</v>
      </c>
      <c r="D243" s="17">
        <f t="shared" si="6"/>
        <v>-6.0845156756656098E-3</v>
      </c>
      <c r="E243" s="17">
        <f t="shared" si="7"/>
        <v>-5.0311240772269832E-3</v>
      </c>
      <c r="F243" s="40"/>
      <c r="G243" s="31"/>
      <c r="H243" s="46"/>
      <c r="I243" s="31"/>
      <c r="J243" s="31"/>
    </row>
    <row r="244" spans="1:10">
      <c r="A244" s="12">
        <v>45985</v>
      </c>
      <c r="B244" s="13">
        <v>74.97</v>
      </c>
      <c r="C244" s="16">
        <v>26458.25</v>
      </c>
      <c r="D244" s="17">
        <f t="shared" si="6"/>
        <v>-5.0875250751782246E-3</v>
      </c>
      <c r="E244" s="17">
        <f t="shared" si="7"/>
        <v>-4.923168748924363E-3</v>
      </c>
      <c r="F244" s="40"/>
      <c r="G244" s="31"/>
      <c r="H244" s="46"/>
      <c r="I244" s="31"/>
      <c r="J244" s="31"/>
    </row>
    <row r="245" spans="1:10">
      <c r="A245" s="14">
        <v>45986</v>
      </c>
      <c r="B245" s="15">
        <v>74.87</v>
      </c>
      <c r="C245" s="16">
        <v>26405.3</v>
      </c>
      <c r="D245" s="17">
        <f t="shared" si="6"/>
        <v>-2.0032713545641888E-3</v>
      </c>
      <c r="E245" s="17">
        <f t="shared" si="7"/>
        <v>-1.3347572723767919E-3</v>
      </c>
      <c r="F245" s="40"/>
      <c r="G245" s="31"/>
      <c r="H245" s="46"/>
      <c r="I245" s="31"/>
      <c r="J245" s="31"/>
    </row>
    <row r="246" spans="1:10">
      <c r="A246" s="12">
        <v>45987</v>
      </c>
      <c r="B246" s="13">
        <v>75.739999999999995</v>
      </c>
      <c r="C246" s="16">
        <v>26743.05</v>
      </c>
      <c r="D246" s="17">
        <f t="shared" si="6"/>
        <v>1.2709878921714185E-2</v>
      </c>
      <c r="E246" s="17">
        <f t="shared" si="7"/>
        <v>1.1553146231054703E-2</v>
      </c>
      <c r="F246" s="40"/>
      <c r="G246" s="31"/>
      <c r="H246" s="46"/>
      <c r="I246" s="31"/>
      <c r="J246" s="31"/>
    </row>
    <row r="247" spans="1:10">
      <c r="A247" s="14">
        <v>45988</v>
      </c>
      <c r="B247" s="15">
        <v>75.77</v>
      </c>
      <c r="C247" s="16">
        <v>26744.35</v>
      </c>
      <c r="D247" s="17">
        <f t="shared" si="6"/>
        <v>4.8609579087892393E-5</v>
      </c>
      <c r="E247" s="17">
        <f t="shared" si="7"/>
        <v>3.9601346963323672E-4</v>
      </c>
      <c r="F247" s="41"/>
      <c r="G247" s="31"/>
      <c r="H247" s="46"/>
      <c r="I247" s="31"/>
      <c r="J247" s="31"/>
    </row>
    <row r="248" spans="1:10">
      <c r="A248" s="12">
        <v>45989</v>
      </c>
      <c r="B248" s="13">
        <v>75.819999999999993</v>
      </c>
      <c r="C248" s="16">
        <v>26737.8</v>
      </c>
      <c r="D248" s="17">
        <f t="shared" si="6"/>
        <v>-2.4494153779331518E-4</v>
      </c>
      <c r="E248" s="17">
        <f t="shared" si="7"/>
        <v>6.5967414490681567E-4</v>
      </c>
      <c r="F248" s="41"/>
      <c r="G248" s="31"/>
      <c r="H248" s="46"/>
      <c r="I248" s="31"/>
      <c r="J248" s="31"/>
    </row>
    <row r="249" spans="1:10">
      <c r="A249" s="1"/>
      <c r="D249" s="7"/>
      <c r="E249" s="2"/>
      <c r="F249" s="2"/>
    </row>
    <row r="250" spans="1:10">
      <c r="A250" s="1"/>
      <c r="D250" s="7"/>
      <c r="E250" s="2"/>
      <c r="F250" s="2"/>
    </row>
  </sheetData>
  <mergeCells count="5">
    <mergeCell ref="L5:M5"/>
    <mergeCell ref="L6:M6"/>
    <mergeCell ref="L2:M2"/>
    <mergeCell ref="L3:M3"/>
    <mergeCell ref="L4:M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C05B5-B44D-4ADC-B301-3194EB330C86}">
  <sheetPr>
    <tabColor theme="4" tint="0.39997558519241921"/>
  </sheetPr>
  <dimension ref="A1:R316"/>
  <sheetViews>
    <sheetView workbookViewId="0">
      <selection sqref="A1:E1"/>
    </sheetView>
  </sheetViews>
  <sheetFormatPr defaultRowHeight="14.4"/>
  <cols>
    <col min="1" max="1" width="10.5546875" bestFit="1" customWidth="1"/>
    <col min="2" max="2" width="12.88671875" bestFit="1" customWidth="1"/>
    <col min="3" max="3" width="18.6640625" bestFit="1" customWidth="1"/>
    <col min="4" max="5" width="11.109375" bestFit="1" customWidth="1"/>
    <col min="6" max="6" width="12" bestFit="1" customWidth="1"/>
    <col min="9" max="9" width="9.5546875" bestFit="1" customWidth="1"/>
    <col min="10" max="10" width="10.88671875" bestFit="1" customWidth="1"/>
    <col min="14" max="14" width="12.6640625" bestFit="1" customWidth="1"/>
    <col min="16" max="16" width="8.6640625" bestFit="1" customWidth="1"/>
    <col min="17" max="17" width="6.77734375" bestFit="1" customWidth="1"/>
    <col min="18" max="18" width="6.88671875" bestFit="1" customWidth="1"/>
  </cols>
  <sheetData>
    <row r="1" spans="1:18">
      <c r="A1" s="33" t="s">
        <v>0</v>
      </c>
      <c r="B1" s="34" t="s">
        <v>1</v>
      </c>
      <c r="C1" s="34" t="s">
        <v>40</v>
      </c>
      <c r="D1" s="34" t="s">
        <v>22</v>
      </c>
      <c r="E1" s="34" t="s">
        <v>2</v>
      </c>
      <c r="H1" s="39" t="s">
        <v>26</v>
      </c>
      <c r="I1" s="39" t="s">
        <v>2</v>
      </c>
      <c r="J1" s="39" t="s">
        <v>22</v>
      </c>
      <c r="P1" s="39"/>
      <c r="Q1" s="39" t="s">
        <v>23</v>
      </c>
      <c r="R1" s="39" t="s">
        <v>24</v>
      </c>
    </row>
    <row r="2" spans="1:18">
      <c r="A2" s="48">
        <v>45628</v>
      </c>
      <c r="B2" s="49">
        <v>3272.6125999999999</v>
      </c>
      <c r="C2" s="50">
        <v>6.71</v>
      </c>
      <c r="D2" s="51"/>
      <c r="E2" s="51"/>
      <c r="F2" s="5" t="s">
        <v>25</v>
      </c>
      <c r="H2" s="16" t="s">
        <v>3</v>
      </c>
      <c r="I2" s="17">
        <f>(B22-$B$2)/$B$2</f>
        <v>5.5652172212501544E-3</v>
      </c>
      <c r="J2" s="17">
        <f>(C22-$C$2)/$C$2</f>
        <v>7.3025335320417847E-3</v>
      </c>
      <c r="K2" s="2"/>
      <c r="L2" s="81" t="s">
        <v>15</v>
      </c>
      <c r="M2" s="81"/>
      <c r="N2" s="17">
        <f>(B249/B2)^(12/12)-1</f>
        <v>6.6520125235721483E-2</v>
      </c>
      <c r="P2" s="16" t="s">
        <v>18</v>
      </c>
      <c r="Q2" s="66">
        <f>AVERAGE(I2:I13)</f>
        <v>3.7259367332387619E-2</v>
      </c>
      <c r="R2" s="66">
        <f>AVERAGE(J2:J13)</f>
        <v>-2.865126676602087E-2</v>
      </c>
    </row>
    <row r="3" spans="1:18">
      <c r="A3" s="48">
        <v>45629</v>
      </c>
      <c r="B3" s="52">
        <v>3273.1532000000002</v>
      </c>
      <c r="C3" s="50">
        <v>6.7140000000000004</v>
      </c>
      <c r="D3" s="53">
        <f>LN(C3/C2)</f>
        <v>5.9594757425278963E-4</v>
      </c>
      <c r="E3" s="53">
        <f>LN(B3/B2)</f>
        <v>1.6517547915618502E-4</v>
      </c>
      <c r="F3" s="4">
        <f>SLOPE(E3:E250,D3:D250)</f>
        <v>-6.7060662774400294E-3</v>
      </c>
      <c r="H3" s="16" t="s">
        <v>4</v>
      </c>
      <c r="I3" s="17">
        <f>(B45-$B$2)/$B$2</f>
        <v>1.1612037428444863E-2</v>
      </c>
      <c r="J3" s="17">
        <f>(C45-$C$2)/$C$2</f>
        <v>-2.384500745156485E-3</v>
      </c>
      <c r="K3" s="2"/>
      <c r="L3" s="80" t="s">
        <v>16</v>
      </c>
      <c r="M3" s="80"/>
      <c r="N3" s="17">
        <f>_xlfn.STDEV.S(I2:I13)</f>
        <v>2.0074324287481609E-2</v>
      </c>
      <c r="P3" s="16" t="s">
        <v>19</v>
      </c>
      <c r="Q3" s="66">
        <v>0.06</v>
      </c>
      <c r="R3" s="16"/>
    </row>
    <row r="4" spans="1:18">
      <c r="A4" s="48">
        <v>45630</v>
      </c>
      <c r="B4" s="49">
        <v>3273.8072999999999</v>
      </c>
      <c r="C4" s="50">
        <v>6.6859999999999999</v>
      </c>
      <c r="D4" s="53">
        <f t="shared" ref="D4:D67" si="0">LN(C4/C3)</f>
        <v>-4.1791105599363419E-3</v>
      </c>
      <c r="E4" s="53">
        <f t="shared" ref="E4:E67" si="1">LN(B4/B3)</f>
        <v>1.9981791616921303E-4</v>
      </c>
      <c r="H4" s="16" t="s">
        <v>5</v>
      </c>
      <c r="I4" s="17">
        <f>(B63-$B$2)/$B$2</f>
        <v>1.7147767505386963E-2</v>
      </c>
      <c r="J4" s="17">
        <f>(C63-$C$2)/$C$2</f>
        <v>1.4903129657227701E-3</v>
      </c>
      <c r="K4" s="2"/>
      <c r="L4" s="80" t="s">
        <v>17</v>
      </c>
      <c r="M4" s="80"/>
      <c r="N4" s="64">
        <f>(Q2-Q3)/N3</f>
        <v>-1.1328218246326471</v>
      </c>
    </row>
    <row r="5" spans="1:18">
      <c r="A5" s="48">
        <v>45631</v>
      </c>
      <c r="B5" s="52">
        <v>3274.4679000000001</v>
      </c>
      <c r="C5" s="50">
        <v>6.68</v>
      </c>
      <c r="D5" s="53">
        <f t="shared" si="0"/>
        <v>-8.9780044935251443E-4</v>
      </c>
      <c r="E5" s="53">
        <f t="shared" si="1"/>
        <v>2.0176305425936958E-4</v>
      </c>
      <c r="H5" s="16" t="s">
        <v>6</v>
      </c>
      <c r="I5" s="17">
        <f>(B82-$B$2)/$B$2</f>
        <v>2.3514912825306569E-2</v>
      </c>
      <c r="J5" s="17">
        <f>(C82-$C$2)/$C$2</f>
        <v>-1.9374068554396408E-2</v>
      </c>
      <c r="K5" s="2"/>
      <c r="L5" s="80" t="s">
        <v>20</v>
      </c>
      <c r="M5" s="80"/>
      <c r="N5" s="65">
        <f>(Q2-Q3)/F3</f>
        <v>3.3910539691673578</v>
      </c>
    </row>
    <row r="6" spans="1:18">
      <c r="A6" s="48">
        <v>45632</v>
      </c>
      <c r="B6" s="49">
        <v>3275.2026999999998</v>
      </c>
      <c r="C6" s="50">
        <v>6.74</v>
      </c>
      <c r="D6" s="53">
        <f t="shared" si="0"/>
        <v>8.941937375661433E-3</v>
      </c>
      <c r="E6" s="53">
        <f t="shared" si="1"/>
        <v>2.2437769712658484E-4</v>
      </c>
      <c r="H6" s="16" t="s">
        <v>7</v>
      </c>
      <c r="I6" s="17">
        <f>(B99-$B$2)/$B$2</f>
        <v>2.9872005015197985E-2</v>
      </c>
      <c r="J6" s="17">
        <f>(C99-$C$2)/$C$2</f>
        <v>-5.2459016393442671E-2</v>
      </c>
      <c r="K6" s="2"/>
      <c r="L6" s="80" t="s">
        <v>21</v>
      </c>
      <c r="M6" s="80"/>
      <c r="N6" s="66">
        <f>Q2-(Q3+F3*(R2-Q3))</f>
        <v>-2.3335133938124329E-2</v>
      </c>
    </row>
    <row r="7" spans="1:18">
      <c r="A7" s="48">
        <v>45635</v>
      </c>
      <c r="B7" s="49">
        <v>3277.0414999999998</v>
      </c>
      <c r="C7" s="50">
        <v>6.7169999999999996</v>
      </c>
      <c r="D7" s="53">
        <f t="shared" si="0"/>
        <v>-3.4182986394883344E-3</v>
      </c>
      <c r="E7" s="53">
        <f t="shared" si="1"/>
        <v>5.6127335677528286E-4</v>
      </c>
      <c r="H7" s="16" t="s">
        <v>8</v>
      </c>
      <c r="I7" s="17">
        <f>(B120-$B$2)/$B$2</f>
        <v>3.5734415983120021E-2</v>
      </c>
      <c r="J7" s="17">
        <f>(C120-$C$2)/$C$2</f>
        <v>-7.6005961251862861E-2</v>
      </c>
      <c r="K7" s="2"/>
    </row>
    <row r="8" spans="1:18">
      <c r="A8" s="48">
        <v>45636</v>
      </c>
      <c r="B8" s="52">
        <v>3277.6019000000001</v>
      </c>
      <c r="C8" s="50">
        <v>6.7050000000000001</v>
      </c>
      <c r="D8" s="53">
        <f t="shared" si="0"/>
        <v>-1.7881095510855337E-3</v>
      </c>
      <c r="E8" s="53">
        <f t="shared" si="1"/>
        <v>1.7099328435332551E-4</v>
      </c>
      <c r="H8" s="16" t="s">
        <v>9</v>
      </c>
      <c r="I8" s="17">
        <f>(B141-$B$2)/$B$2</f>
        <v>4.1321633975252639E-2</v>
      </c>
      <c r="J8" s="17">
        <f>(C141-$C$2)/$C$2</f>
        <v>-5.9612518628912127E-2</v>
      </c>
      <c r="K8" s="2"/>
    </row>
    <row r="9" spans="1:18">
      <c r="A9" s="48">
        <v>45637</v>
      </c>
      <c r="B9" s="49">
        <v>3278.2094000000002</v>
      </c>
      <c r="C9" s="50">
        <v>6.718</v>
      </c>
      <c r="D9" s="53">
        <f t="shared" si="0"/>
        <v>1.9369744564592447E-3</v>
      </c>
      <c r="E9" s="53">
        <f t="shared" si="1"/>
        <v>1.8533175344404541E-4</v>
      </c>
      <c r="H9" s="16" t="s">
        <v>10</v>
      </c>
      <c r="I9" s="17">
        <f>(B164-$B$2)/$B$2</f>
        <v>4.6410106714128097E-2</v>
      </c>
      <c r="J9" s="17">
        <f>(C164-$C$2)/$C$2</f>
        <v>-4.9776453055141522E-2</v>
      </c>
      <c r="K9" s="2"/>
    </row>
    <row r="10" spans="1:18">
      <c r="A10" s="48">
        <v>45638</v>
      </c>
      <c r="B10" s="52">
        <v>3278.7532999999999</v>
      </c>
      <c r="C10" s="50">
        <v>6.7359999999999998</v>
      </c>
      <c r="D10" s="53">
        <f t="shared" si="0"/>
        <v>2.6757857499246115E-3</v>
      </c>
      <c r="E10" s="53">
        <f t="shared" si="1"/>
        <v>1.6589998330998805E-4</v>
      </c>
      <c r="H10" s="16" t="s">
        <v>11</v>
      </c>
      <c r="I10" s="17">
        <f>(B184-$B$2)/$B$2</f>
        <v>5.1114238208335522E-2</v>
      </c>
      <c r="J10" s="17">
        <f>(C184-$C$2)/$C$2</f>
        <v>-1.8181818181818164E-2</v>
      </c>
      <c r="K10" s="2"/>
    </row>
    <row r="11" spans="1:18">
      <c r="A11" s="48">
        <v>45639</v>
      </c>
      <c r="B11" s="49">
        <v>3279.1723999999999</v>
      </c>
      <c r="C11" s="50">
        <v>6.7290000000000001</v>
      </c>
      <c r="D11" s="53">
        <f t="shared" si="0"/>
        <v>-1.0397327338445802E-3</v>
      </c>
      <c r="E11" s="53">
        <f t="shared" si="1"/>
        <v>1.2781480600517601E-4</v>
      </c>
      <c r="H11" s="16" t="s">
        <v>12</v>
      </c>
      <c r="I11" s="17">
        <f>(B206-$B$2)/$B$2</f>
        <v>5.6562606890898141E-2</v>
      </c>
      <c r="J11" s="17">
        <f>(C206-$C$2)/$C$2</f>
        <v>-2.071535022354698E-2</v>
      </c>
      <c r="K11" s="2"/>
    </row>
    <row r="12" spans="1:18">
      <c r="A12" s="48">
        <v>45642</v>
      </c>
      <c r="B12" s="49">
        <v>3281.2330999999999</v>
      </c>
      <c r="C12" s="50">
        <v>6.7409999999999997</v>
      </c>
      <c r="D12" s="53">
        <f t="shared" si="0"/>
        <v>1.781737665120722E-3</v>
      </c>
      <c r="E12" s="53">
        <f t="shared" si="1"/>
        <v>6.2822338276926671E-4</v>
      </c>
      <c r="H12" s="16" t="s">
        <v>13</v>
      </c>
      <c r="I12" s="17">
        <f>(B229-$B$2)/$B$2</f>
        <v>6.173734098560895E-2</v>
      </c>
      <c r="J12" s="17">
        <f>(C229-$C$2)/$C$2</f>
        <v>-2.6974664679582719E-2</v>
      </c>
      <c r="K12" s="2"/>
    </row>
    <row r="13" spans="1:18">
      <c r="A13" s="48">
        <v>45643</v>
      </c>
      <c r="B13" s="52">
        <v>3281.8359999999998</v>
      </c>
      <c r="C13" s="50">
        <v>6.7590000000000003</v>
      </c>
      <c r="D13" s="53">
        <f t="shared" si="0"/>
        <v>2.6666682469152977E-3</v>
      </c>
      <c r="E13" s="53">
        <f t="shared" si="1"/>
        <v>1.8372502026396797E-4</v>
      </c>
      <c r="H13" s="16" t="s">
        <v>14</v>
      </c>
      <c r="I13" s="17">
        <f>(B249-$B$2)/$B$2</f>
        <v>6.6520125235721539E-2</v>
      </c>
      <c r="J13" s="17">
        <f>(C249-$C$2)/$C$2</f>
        <v>-2.7123695976155049E-2</v>
      </c>
      <c r="K13" s="2"/>
    </row>
    <row r="14" spans="1:18">
      <c r="A14" s="48">
        <v>45644</v>
      </c>
      <c r="B14" s="49">
        <v>3282.4101000000001</v>
      </c>
      <c r="C14" s="50">
        <v>6.7510000000000003</v>
      </c>
      <c r="D14" s="53">
        <f t="shared" si="0"/>
        <v>-1.1843080584836418E-3</v>
      </c>
      <c r="E14" s="53">
        <f t="shared" si="1"/>
        <v>1.7491726931564486E-4</v>
      </c>
    </row>
    <row r="15" spans="1:18">
      <c r="A15" s="48">
        <v>45645</v>
      </c>
      <c r="B15" s="52">
        <v>3282.9333000000001</v>
      </c>
      <c r="C15" s="50">
        <v>6.7869999999999999</v>
      </c>
      <c r="D15" s="53">
        <f t="shared" si="0"/>
        <v>5.3183756618878095E-3</v>
      </c>
      <c r="E15" s="53">
        <f t="shared" si="1"/>
        <v>1.5938237171492407E-4</v>
      </c>
    </row>
    <row r="16" spans="1:18">
      <c r="A16" s="48">
        <v>45646</v>
      </c>
      <c r="B16" s="49">
        <v>3283.518</v>
      </c>
      <c r="C16" s="50">
        <v>6.7910000000000004</v>
      </c>
      <c r="D16" s="53">
        <f t="shared" si="0"/>
        <v>5.8918841003304933E-4</v>
      </c>
      <c r="E16" s="53">
        <f t="shared" si="1"/>
        <v>1.7808705945779386E-4</v>
      </c>
    </row>
    <row r="17" spans="1:5">
      <c r="A17" s="48">
        <v>45649</v>
      </c>
      <c r="B17" s="49">
        <v>3285.1745000000001</v>
      </c>
      <c r="C17" s="50">
        <v>6.7759999999999998</v>
      </c>
      <c r="D17" s="53">
        <f t="shared" si="0"/>
        <v>-2.2112487819011622E-3</v>
      </c>
      <c r="E17" s="53">
        <f t="shared" si="1"/>
        <v>5.0436218017971095E-4</v>
      </c>
    </row>
    <row r="18" spans="1:5">
      <c r="A18" s="48">
        <v>45650</v>
      </c>
      <c r="B18" s="52">
        <v>3285.4555</v>
      </c>
      <c r="C18" s="50">
        <v>6.7759999999999998</v>
      </c>
      <c r="D18" s="53">
        <f t="shared" si="0"/>
        <v>0</v>
      </c>
      <c r="E18" s="53">
        <f t="shared" si="1"/>
        <v>8.5532133196123666E-5</v>
      </c>
    </row>
    <row r="19" spans="1:5">
      <c r="A19" s="48">
        <v>45652</v>
      </c>
      <c r="B19" s="52">
        <v>3286.6217999999999</v>
      </c>
      <c r="C19" s="50">
        <v>6.7839999999999998</v>
      </c>
      <c r="D19" s="53">
        <f t="shared" si="0"/>
        <v>1.1799411398487696E-3</v>
      </c>
      <c r="E19" s="53">
        <f t="shared" si="1"/>
        <v>3.5492583516722023E-4</v>
      </c>
    </row>
    <row r="20" spans="1:5">
      <c r="A20" s="48">
        <v>45653</v>
      </c>
      <c r="B20" s="49">
        <v>3287.2804000000001</v>
      </c>
      <c r="C20" s="50">
        <v>6.7869999999999999</v>
      </c>
      <c r="D20" s="53">
        <f t="shared" si="0"/>
        <v>4.421192320192868E-4</v>
      </c>
      <c r="E20" s="53">
        <f t="shared" si="1"/>
        <v>2.0036805603933263E-4</v>
      </c>
    </row>
    <row r="21" spans="1:5">
      <c r="A21" s="48">
        <v>45656</v>
      </c>
      <c r="B21" s="49">
        <v>3289.2855</v>
      </c>
      <c r="C21" s="50">
        <v>6.7750000000000004</v>
      </c>
      <c r="D21" s="53">
        <f t="shared" si="0"/>
        <v>-1.7696509558566176E-3</v>
      </c>
      <c r="E21" s="53">
        <f t="shared" si="1"/>
        <v>6.0977114579763335E-4</v>
      </c>
    </row>
    <row r="22" spans="1:5">
      <c r="A22" s="48">
        <v>45657</v>
      </c>
      <c r="B22" s="52">
        <v>3290.8254000000002</v>
      </c>
      <c r="C22" s="50">
        <v>6.7590000000000003</v>
      </c>
      <c r="D22" s="53">
        <f t="shared" si="0"/>
        <v>-2.3644166475475124E-3</v>
      </c>
      <c r="E22" s="53">
        <f t="shared" si="1"/>
        <v>4.6804683128122627E-4</v>
      </c>
    </row>
    <row r="23" spans="1:5">
      <c r="A23" s="48">
        <v>45658</v>
      </c>
      <c r="B23" s="49">
        <v>3291.6696000000002</v>
      </c>
      <c r="C23" s="50">
        <v>6.7789999999999999</v>
      </c>
      <c r="D23" s="53">
        <f t="shared" si="0"/>
        <v>2.9546483306114191E-3</v>
      </c>
      <c r="E23" s="53">
        <f t="shared" si="1"/>
        <v>2.5649848716286958E-4</v>
      </c>
    </row>
    <row r="24" spans="1:5">
      <c r="A24" s="48">
        <v>45659</v>
      </c>
      <c r="B24" s="52">
        <v>3292.5295999999998</v>
      </c>
      <c r="C24" s="50">
        <v>6.7869999999999999</v>
      </c>
      <c r="D24" s="53">
        <f t="shared" si="0"/>
        <v>1.1794192727927885E-3</v>
      </c>
      <c r="E24" s="53">
        <f t="shared" si="1"/>
        <v>2.6123146604998171E-4</v>
      </c>
    </row>
    <row r="25" spans="1:5">
      <c r="A25" s="48">
        <v>45660</v>
      </c>
      <c r="B25" s="49">
        <v>3293.0823999999998</v>
      </c>
      <c r="C25" s="50">
        <v>6.7789999999999999</v>
      </c>
      <c r="D25" s="53">
        <f t="shared" si="0"/>
        <v>-1.1794192727927588E-3</v>
      </c>
      <c r="E25" s="53">
        <f t="shared" si="1"/>
        <v>1.678811327781197E-4</v>
      </c>
    </row>
    <row r="26" spans="1:5">
      <c r="A26" s="48">
        <v>45663</v>
      </c>
      <c r="B26" s="49">
        <v>3294.9919</v>
      </c>
      <c r="C26" s="50">
        <v>6.7629999999999999</v>
      </c>
      <c r="D26" s="53">
        <f t="shared" si="0"/>
        <v>-2.3630198560256376E-3</v>
      </c>
      <c r="E26" s="53">
        <f t="shared" si="1"/>
        <v>5.7968382459541398E-4</v>
      </c>
    </row>
    <row r="27" spans="1:5">
      <c r="A27" s="48">
        <v>45664</v>
      </c>
      <c r="B27" s="52">
        <v>3295.6088</v>
      </c>
      <c r="C27" s="50">
        <v>6.7460000000000004</v>
      </c>
      <c r="D27" s="53">
        <f t="shared" si="0"/>
        <v>-2.5168419533442656E-3</v>
      </c>
      <c r="E27" s="53">
        <f t="shared" si="1"/>
        <v>1.8720600135927514E-4</v>
      </c>
    </row>
    <row r="28" spans="1:5">
      <c r="A28" s="48">
        <v>45665</v>
      </c>
      <c r="B28" s="49">
        <v>3295.9589999999998</v>
      </c>
      <c r="C28" s="50">
        <v>6.7670000000000003</v>
      </c>
      <c r="D28" s="53">
        <f t="shared" si="0"/>
        <v>3.1081206106298742E-3</v>
      </c>
      <c r="E28" s="53">
        <f t="shared" si="1"/>
        <v>1.0625696676578075E-4</v>
      </c>
    </row>
    <row r="29" spans="1:5">
      <c r="A29" s="48">
        <v>45666</v>
      </c>
      <c r="B29" s="52">
        <v>3296.3984999999998</v>
      </c>
      <c r="C29" s="50">
        <v>6.7640000000000002</v>
      </c>
      <c r="D29" s="53">
        <f t="shared" si="0"/>
        <v>-4.4342621375466178E-4</v>
      </c>
      <c r="E29" s="53">
        <f t="shared" si="1"/>
        <v>1.3333621565617503E-4</v>
      </c>
    </row>
    <row r="30" spans="1:5">
      <c r="A30" s="48">
        <v>45667</v>
      </c>
      <c r="B30" s="49">
        <v>3297.0291000000002</v>
      </c>
      <c r="C30" s="50">
        <v>6.7690000000000001</v>
      </c>
      <c r="D30" s="53">
        <f t="shared" si="0"/>
        <v>7.3893449013662498E-4</v>
      </c>
      <c r="E30" s="53">
        <f t="shared" si="1"/>
        <v>1.9128139116087915E-4</v>
      </c>
    </row>
    <row r="31" spans="1:5">
      <c r="A31" s="48">
        <v>45670</v>
      </c>
      <c r="B31" s="49">
        <v>3298.9834000000001</v>
      </c>
      <c r="C31" s="50">
        <v>6.843</v>
      </c>
      <c r="D31" s="53">
        <f t="shared" si="0"/>
        <v>1.087286644388998E-2</v>
      </c>
      <c r="E31" s="53">
        <f t="shared" si="1"/>
        <v>5.925701496732631E-4</v>
      </c>
    </row>
    <row r="32" spans="1:5">
      <c r="A32" s="48">
        <v>45671</v>
      </c>
      <c r="B32" s="52">
        <v>3299.6466999999998</v>
      </c>
      <c r="C32" s="50">
        <v>6.8289999999999997</v>
      </c>
      <c r="D32" s="53">
        <f t="shared" si="0"/>
        <v>-2.0479819914085316E-3</v>
      </c>
      <c r="E32" s="53">
        <f t="shared" si="1"/>
        <v>2.0104172901997717E-4</v>
      </c>
    </row>
    <row r="33" spans="1:5">
      <c r="A33" s="48">
        <v>45672</v>
      </c>
      <c r="B33" s="49">
        <v>3300.3465999999999</v>
      </c>
      <c r="C33" s="50">
        <v>6.8129999999999997</v>
      </c>
      <c r="D33" s="53">
        <f t="shared" si="0"/>
        <v>-2.3456981874210975E-3</v>
      </c>
      <c r="E33" s="53">
        <f t="shared" si="1"/>
        <v>2.1209112519062447E-4</v>
      </c>
    </row>
    <row r="34" spans="1:5">
      <c r="A34" s="48">
        <v>45673</v>
      </c>
      <c r="B34" s="52">
        <v>3301.0562</v>
      </c>
      <c r="C34" s="50">
        <v>6.7539999999999996</v>
      </c>
      <c r="D34" s="53">
        <f t="shared" si="0"/>
        <v>-8.697629828155147E-3</v>
      </c>
      <c r="E34" s="53">
        <f t="shared" si="1"/>
        <v>2.1498460985700749E-4</v>
      </c>
    </row>
    <row r="35" spans="1:5">
      <c r="A35" s="48">
        <v>45674</v>
      </c>
      <c r="B35" s="49">
        <v>3301.6862999999998</v>
      </c>
      <c r="C35" s="50">
        <v>6.774</v>
      </c>
      <c r="D35" s="53">
        <f t="shared" si="0"/>
        <v>2.9568324322041127E-3</v>
      </c>
      <c r="E35" s="53">
        <f t="shared" si="1"/>
        <v>1.9086008636937744E-4</v>
      </c>
    </row>
    <row r="36" spans="1:5">
      <c r="A36" s="48">
        <v>45677</v>
      </c>
      <c r="B36" s="49">
        <v>3303.5763000000002</v>
      </c>
      <c r="C36" s="50">
        <v>6.7629999999999999</v>
      </c>
      <c r="D36" s="53">
        <f t="shared" si="0"/>
        <v>-1.6251758027770646E-3</v>
      </c>
      <c r="E36" s="53">
        <f t="shared" si="1"/>
        <v>5.7227098028802994E-4</v>
      </c>
    </row>
    <row r="37" spans="1:5">
      <c r="A37" s="48">
        <v>45678</v>
      </c>
      <c r="B37" s="52">
        <v>3304.2111</v>
      </c>
      <c r="C37" s="50">
        <v>6.734</v>
      </c>
      <c r="D37" s="53">
        <f t="shared" si="0"/>
        <v>-4.2972578539201339E-3</v>
      </c>
      <c r="E37" s="53">
        <f t="shared" si="1"/>
        <v>1.9213693284159992E-4</v>
      </c>
    </row>
    <row r="38" spans="1:5">
      <c r="A38" s="48">
        <v>45679</v>
      </c>
      <c r="B38" s="49">
        <v>3304.7620000000002</v>
      </c>
      <c r="C38" s="50">
        <v>6.7190000000000003</v>
      </c>
      <c r="D38" s="53">
        <f t="shared" si="0"/>
        <v>-2.2299868008698325E-3</v>
      </c>
      <c r="E38" s="53">
        <f t="shared" si="1"/>
        <v>1.6671273825453469E-4</v>
      </c>
    </row>
    <row r="39" spans="1:5">
      <c r="A39" s="48">
        <v>45680</v>
      </c>
      <c r="B39" s="52">
        <v>3305.3827999999999</v>
      </c>
      <c r="C39" s="50">
        <v>6.7359999999999998</v>
      </c>
      <c r="D39" s="53">
        <f t="shared" si="0"/>
        <v>2.5269430020127023E-3</v>
      </c>
      <c r="E39" s="53">
        <f t="shared" si="1"/>
        <v>1.8783249705048869E-4</v>
      </c>
    </row>
    <row r="40" spans="1:5">
      <c r="A40" s="48">
        <v>45681</v>
      </c>
      <c r="B40" s="49">
        <v>3305.9494</v>
      </c>
      <c r="C40" s="50">
        <v>6.72</v>
      </c>
      <c r="D40" s="53">
        <f t="shared" si="0"/>
        <v>-2.3781224049674358E-3</v>
      </c>
      <c r="E40" s="53">
        <f t="shared" si="1"/>
        <v>1.7140267173007634E-4</v>
      </c>
    </row>
    <row r="41" spans="1:5">
      <c r="A41" s="48">
        <v>45684</v>
      </c>
      <c r="B41" s="49">
        <v>3307.9317000000001</v>
      </c>
      <c r="C41" s="50">
        <v>6.6749999999999998</v>
      </c>
      <c r="D41" s="53">
        <f t="shared" si="0"/>
        <v>-6.7189502487449808E-3</v>
      </c>
      <c r="E41" s="53">
        <f t="shared" si="1"/>
        <v>5.9943625516862653E-4</v>
      </c>
    </row>
    <row r="42" spans="1:5">
      <c r="A42" s="48">
        <v>45685</v>
      </c>
      <c r="B42" s="52">
        <v>3308.6513</v>
      </c>
      <c r="C42" s="50">
        <v>6.681</v>
      </c>
      <c r="D42" s="53">
        <f t="shared" si="0"/>
        <v>8.9847265702703021E-4</v>
      </c>
      <c r="E42" s="53">
        <f t="shared" si="1"/>
        <v>2.1751408630026262E-4</v>
      </c>
    </row>
    <row r="43" spans="1:5">
      <c r="A43" s="48">
        <v>45686</v>
      </c>
      <c r="B43" s="49">
        <v>3309.3453</v>
      </c>
      <c r="C43" s="50">
        <v>6.6829999999999998</v>
      </c>
      <c r="D43" s="53">
        <f t="shared" si="0"/>
        <v>2.9931158559270076E-4</v>
      </c>
      <c r="E43" s="53">
        <f t="shared" si="1"/>
        <v>2.0973114508517302E-4</v>
      </c>
    </row>
    <row r="44" spans="1:5">
      <c r="A44" s="48">
        <v>45687</v>
      </c>
      <c r="B44" s="52">
        <v>3309.9830000000002</v>
      </c>
      <c r="C44" s="50">
        <v>6.6779999999999999</v>
      </c>
      <c r="D44" s="53">
        <f t="shared" si="0"/>
        <v>-7.4844700747026688E-4</v>
      </c>
      <c r="E44" s="53">
        <f t="shared" si="1"/>
        <v>1.9267816100706258E-4</v>
      </c>
    </row>
    <row r="45" spans="1:5">
      <c r="A45" s="48">
        <v>45688</v>
      </c>
      <c r="B45" s="49">
        <v>3310.6143000000002</v>
      </c>
      <c r="C45" s="50">
        <v>6.694</v>
      </c>
      <c r="D45" s="53">
        <f t="shared" si="0"/>
        <v>2.3930612676721294E-3</v>
      </c>
      <c r="E45" s="53">
        <f t="shared" si="1"/>
        <v>1.907078691866769E-4</v>
      </c>
    </row>
    <row r="46" spans="1:5">
      <c r="A46" s="48">
        <v>45691</v>
      </c>
      <c r="B46" s="52">
        <v>3312.5479999999998</v>
      </c>
      <c r="C46" s="50">
        <v>6.67</v>
      </c>
      <c r="D46" s="53">
        <f t="shared" si="0"/>
        <v>-3.5917428616024701E-3</v>
      </c>
      <c r="E46" s="53">
        <f t="shared" si="1"/>
        <v>5.839204800833184E-4</v>
      </c>
    </row>
    <row r="47" spans="1:5">
      <c r="A47" s="48">
        <v>45692</v>
      </c>
      <c r="B47" s="49">
        <v>3313.2887000000001</v>
      </c>
      <c r="C47" s="50">
        <v>6.6719999999999997</v>
      </c>
      <c r="D47" s="53">
        <f t="shared" si="0"/>
        <v>2.9980512891323658E-4</v>
      </c>
      <c r="E47" s="53">
        <f t="shared" si="1"/>
        <v>2.2357931129992806E-4</v>
      </c>
    </row>
    <row r="48" spans="1:5">
      <c r="A48" s="48">
        <v>45693</v>
      </c>
      <c r="B48" s="52">
        <v>3314.1268</v>
      </c>
      <c r="C48" s="50">
        <v>6.6639999999999997</v>
      </c>
      <c r="D48" s="53">
        <f t="shared" si="0"/>
        <v>-1.1997601919040602E-3</v>
      </c>
      <c r="E48" s="53">
        <f t="shared" si="1"/>
        <v>2.5291910684254956E-4</v>
      </c>
    </row>
    <row r="49" spans="1:5">
      <c r="A49" s="48">
        <v>45694</v>
      </c>
      <c r="B49" s="49">
        <v>3314.9629</v>
      </c>
      <c r="C49" s="50">
        <v>6.657</v>
      </c>
      <c r="D49" s="53">
        <f t="shared" si="0"/>
        <v>-1.0509722459750043E-3</v>
      </c>
      <c r="E49" s="53">
        <f t="shared" si="1"/>
        <v>2.5225183012186734E-4</v>
      </c>
    </row>
    <row r="50" spans="1:5">
      <c r="A50" s="48">
        <v>45695</v>
      </c>
      <c r="B50" s="52">
        <v>3315.5605999999998</v>
      </c>
      <c r="C50" s="50">
        <v>6.6989999999999998</v>
      </c>
      <c r="D50" s="53">
        <f t="shared" si="0"/>
        <v>6.2893289075639184E-3</v>
      </c>
      <c r="E50" s="53">
        <f t="shared" si="1"/>
        <v>1.8028742424901166E-4</v>
      </c>
    </row>
    <row r="51" spans="1:5">
      <c r="A51" s="48">
        <v>45698</v>
      </c>
      <c r="B51" s="52">
        <v>3317.3706000000002</v>
      </c>
      <c r="C51" s="50">
        <v>6.7130000000000001</v>
      </c>
      <c r="D51" s="53">
        <f t="shared" si="0"/>
        <v>2.087683430483895E-3</v>
      </c>
      <c r="E51" s="53">
        <f t="shared" si="1"/>
        <v>5.457617425390273E-4</v>
      </c>
    </row>
    <row r="52" spans="1:5">
      <c r="A52" s="48">
        <v>45699</v>
      </c>
      <c r="B52" s="49">
        <v>3318.1015000000002</v>
      </c>
      <c r="C52" s="50">
        <v>6.6970000000000001</v>
      </c>
      <c r="D52" s="53">
        <f t="shared" si="0"/>
        <v>-2.3862800287012998E-3</v>
      </c>
      <c r="E52" s="53">
        <f t="shared" si="1"/>
        <v>2.2030082922239958E-4</v>
      </c>
    </row>
    <row r="53" spans="1:5">
      <c r="A53" s="48">
        <v>45700</v>
      </c>
      <c r="B53" s="52">
        <v>3318.8481000000002</v>
      </c>
      <c r="C53" s="50">
        <v>6.6970000000000001</v>
      </c>
      <c r="D53" s="53">
        <f t="shared" si="0"/>
        <v>0</v>
      </c>
      <c r="E53" s="53">
        <f t="shared" si="1"/>
        <v>2.2498287561173515E-4</v>
      </c>
    </row>
    <row r="54" spans="1:5">
      <c r="A54" s="48">
        <v>45701</v>
      </c>
      <c r="B54" s="49">
        <v>3319.4856</v>
      </c>
      <c r="C54" s="50">
        <v>6.7119999999999997</v>
      </c>
      <c r="D54" s="53">
        <f t="shared" si="0"/>
        <v>2.2373042369919355E-3</v>
      </c>
      <c r="E54" s="53">
        <f t="shared" si="1"/>
        <v>1.9206627167896447E-4</v>
      </c>
    </row>
    <row r="55" spans="1:5">
      <c r="A55" s="48">
        <v>45702</v>
      </c>
      <c r="B55" s="52">
        <v>3320.1115</v>
      </c>
      <c r="C55" s="50">
        <v>6.7050000000000001</v>
      </c>
      <c r="D55" s="53">
        <f t="shared" si="0"/>
        <v>-1.0434524312631923E-3</v>
      </c>
      <c r="E55" s="53">
        <f t="shared" si="1"/>
        <v>1.8853553684883517E-4</v>
      </c>
    </row>
    <row r="56" spans="1:5">
      <c r="A56" s="48">
        <v>45705</v>
      </c>
      <c r="B56" s="52">
        <v>3321.9614000000001</v>
      </c>
      <c r="C56" s="50">
        <v>6.6920000000000002</v>
      </c>
      <c r="D56" s="53">
        <f t="shared" si="0"/>
        <v>-1.9407336090642849E-3</v>
      </c>
      <c r="E56" s="53">
        <f t="shared" si="1"/>
        <v>5.5702491546937472E-4</v>
      </c>
    </row>
    <row r="57" spans="1:5">
      <c r="A57" s="48">
        <v>45706</v>
      </c>
      <c r="B57" s="49">
        <v>3322.5758999999998</v>
      </c>
      <c r="C57" s="50">
        <v>6.6820000000000004</v>
      </c>
      <c r="D57" s="53">
        <f t="shared" si="0"/>
        <v>-1.4954391900127153E-3</v>
      </c>
      <c r="E57" s="53">
        <f t="shared" si="1"/>
        <v>1.849639708552672E-4</v>
      </c>
    </row>
    <row r="58" spans="1:5">
      <c r="A58" s="48">
        <v>45708</v>
      </c>
      <c r="B58" s="49">
        <v>3323.7975000000001</v>
      </c>
      <c r="C58" s="50">
        <v>6.7030000000000003</v>
      </c>
      <c r="D58" s="53">
        <f t="shared" si="0"/>
        <v>3.1378434412558322E-3</v>
      </c>
      <c r="E58" s="53">
        <f t="shared" si="1"/>
        <v>3.675989717208409E-4</v>
      </c>
    </row>
    <row r="59" spans="1:5">
      <c r="A59" s="48">
        <v>45709</v>
      </c>
      <c r="B59" s="52">
        <v>3324.4519</v>
      </c>
      <c r="C59" s="50">
        <v>6.7080000000000002</v>
      </c>
      <c r="D59" s="53">
        <f t="shared" si="0"/>
        <v>7.4565658514170693E-4</v>
      </c>
      <c r="E59" s="53">
        <f t="shared" si="1"/>
        <v>1.9686385475039349E-4</v>
      </c>
    </row>
    <row r="60" spans="1:5">
      <c r="A60" s="48">
        <v>45712</v>
      </c>
      <c r="B60" s="52">
        <v>3326.4630000000002</v>
      </c>
      <c r="C60" s="50">
        <v>6.7</v>
      </c>
      <c r="D60" s="53">
        <f t="shared" si="0"/>
        <v>-1.1933175640420869E-3</v>
      </c>
      <c r="E60" s="53">
        <f t="shared" si="1"/>
        <v>6.0475892160163328E-4</v>
      </c>
    </row>
    <row r="61" spans="1:5">
      <c r="A61" s="48">
        <v>45713</v>
      </c>
      <c r="B61" s="49">
        <v>3326.9994999999999</v>
      </c>
      <c r="C61" s="50">
        <v>6.7060000000000004</v>
      </c>
      <c r="D61" s="53">
        <f t="shared" si="0"/>
        <v>8.9512164711650884E-4</v>
      </c>
      <c r="E61" s="53">
        <f t="shared" si="1"/>
        <v>1.612694145829961E-4</v>
      </c>
    </row>
    <row r="62" spans="1:5">
      <c r="A62" s="48">
        <v>45715</v>
      </c>
      <c r="B62" s="49">
        <v>3328.1309999999999</v>
      </c>
      <c r="C62" s="50">
        <v>6.71</v>
      </c>
      <c r="D62" s="53">
        <f t="shared" si="0"/>
        <v>5.9630293955352737E-4</v>
      </c>
      <c r="E62" s="53">
        <f t="shared" si="1"/>
        <v>3.4003841424364159E-4</v>
      </c>
    </row>
    <row r="63" spans="1:5">
      <c r="A63" s="48">
        <v>45716</v>
      </c>
      <c r="B63" s="52">
        <v>3328.7305999999999</v>
      </c>
      <c r="C63" s="50">
        <v>6.72</v>
      </c>
      <c r="D63" s="53">
        <f t="shared" si="0"/>
        <v>1.4892035514676113E-3</v>
      </c>
      <c r="E63" s="53">
        <f t="shared" si="1"/>
        <v>1.8014495047383563E-4</v>
      </c>
    </row>
    <row r="64" spans="1:5">
      <c r="A64" s="48">
        <v>45719</v>
      </c>
      <c r="B64" s="52">
        <v>3330.5495000000001</v>
      </c>
      <c r="C64" s="50">
        <v>6.73</v>
      </c>
      <c r="D64" s="53">
        <f t="shared" si="0"/>
        <v>1.4869891215783665E-3</v>
      </c>
      <c r="E64" s="53">
        <f t="shared" si="1"/>
        <v>5.4627527838409652E-4</v>
      </c>
    </row>
    <row r="65" spans="1:5">
      <c r="A65" s="48">
        <v>45720</v>
      </c>
      <c r="B65" s="49">
        <v>3331.1043</v>
      </c>
      <c r="C65" s="50">
        <v>6.74</v>
      </c>
      <c r="D65" s="53">
        <f t="shared" si="0"/>
        <v>1.4847812675792241E-3</v>
      </c>
      <c r="E65" s="53">
        <f t="shared" si="1"/>
        <v>1.6656524578999854E-4</v>
      </c>
    </row>
    <row r="66" spans="1:5">
      <c r="A66" s="48">
        <v>45721</v>
      </c>
      <c r="B66" s="52">
        <v>3331.7129</v>
      </c>
      <c r="C66" s="50">
        <v>6.71</v>
      </c>
      <c r="D66" s="53">
        <f t="shared" si="0"/>
        <v>-4.4609739406252279E-3</v>
      </c>
      <c r="E66" s="53">
        <f t="shared" si="1"/>
        <v>1.8268548676160284E-4</v>
      </c>
    </row>
    <row r="67" spans="1:5">
      <c r="A67" s="48">
        <v>45722</v>
      </c>
      <c r="B67" s="49">
        <v>3332.3382000000001</v>
      </c>
      <c r="C67" s="50">
        <v>6.68</v>
      </c>
      <c r="D67" s="53">
        <f t="shared" si="0"/>
        <v>-4.4809634350360924E-3</v>
      </c>
      <c r="E67" s="53">
        <f t="shared" si="1"/>
        <v>1.87663627559802E-4</v>
      </c>
    </row>
    <row r="68" spans="1:5">
      <c r="A68" s="48">
        <v>45723</v>
      </c>
      <c r="B68" s="52">
        <v>3332.6446999999998</v>
      </c>
      <c r="C68" s="50">
        <v>6.68</v>
      </c>
      <c r="D68" s="53">
        <f t="shared" ref="D68:D131" si="2">LN(C68/C67)</f>
        <v>0</v>
      </c>
      <c r="E68" s="53">
        <f t="shared" ref="E68:E131" si="3">LN(B68/B67)</f>
        <v>9.1973229283386109E-5</v>
      </c>
    </row>
    <row r="69" spans="1:5">
      <c r="A69" s="48">
        <v>45726</v>
      </c>
      <c r="B69" s="52">
        <v>3334.5536999999999</v>
      </c>
      <c r="C69" s="50">
        <v>6.7</v>
      </c>
      <c r="D69" s="53">
        <f t="shared" si="2"/>
        <v>2.9895388483659859E-3</v>
      </c>
      <c r="E69" s="53">
        <f t="shared" si="3"/>
        <v>5.7265434074032942E-4</v>
      </c>
    </row>
    <row r="70" spans="1:5">
      <c r="A70" s="48">
        <v>45727</v>
      </c>
      <c r="B70" s="49">
        <v>3335.0315000000001</v>
      </c>
      <c r="C70" s="50">
        <v>6.69</v>
      </c>
      <c r="D70" s="53">
        <f t="shared" si="2"/>
        <v>-1.4936522567832536E-3</v>
      </c>
      <c r="E70" s="53">
        <f t="shared" si="3"/>
        <v>1.4327727631916856E-4</v>
      </c>
    </row>
    <row r="71" spans="1:5">
      <c r="A71" s="48">
        <v>45728</v>
      </c>
      <c r="B71" s="52">
        <v>3335.6028000000001</v>
      </c>
      <c r="C71" s="50">
        <v>6.68</v>
      </c>
      <c r="D71" s="53">
        <f t="shared" si="2"/>
        <v>-1.4958865915828024E-3</v>
      </c>
      <c r="E71" s="53">
        <f t="shared" si="3"/>
        <v>1.7128805918700782E-4</v>
      </c>
    </row>
    <row r="72" spans="1:5">
      <c r="A72" s="48">
        <v>45729</v>
      </c>
      <c r="B72" s="49">
        <v>3336.2584999999999</v>
      </c>
      <c r="C72" s="50">
        <v>6.69</v>
      </c>
      <c r="D72" s="53">
        <f t="shared" si="2"/>
        <v>1.4958865915829297E-3</v>
      </c>
      <c r="E72" s="53">
        <f t="shared" si="3"/>
        <v>1.9655684452282929E-4</v>
      </c>
    </row>
    <row r="73" spans="1:5">
      <c r="A73" s="48">
        <v>45733</v>
      </c>
      <c r="B73" s="49">
        <v>3338.8499000000002</v>
      </c>
      <c r="C73" s="50">
        <v>6.69</v>
      </c>
      <c r="D73" s="53">
        <f t="shared" si="2"/>
        <v>0</v>
      </c>
      <c r="E73" s="53">
        <f t="shared" si="3"/>
        <v>7.7643686810739687E-4</v>
      </c>
    </row>
    <row r="74" spans="1:5">
      <c r="A74" s="48">
        <v>45734</v>
      </c>
      <c r="B74" s="52">
        <v>3339.4445000000001</v>
      </c>
      <c r="C74" s="50">
        <v>6.67</v>
      </c>
      <c r="D74" s="53">
        <f t="shared" si="2"/>
        <v>-2.9940142126047777E-3</v>
      </c>
      <c r="E74" s="53">
        <f t="shared" si="3"/>
        <v>1.7806941891362495E-4</v>
      </c>
    </row>
    <row r="75" spans="1:5">
      <c r="A75" s="48">
        <v>45735</v>
      </c>
      <c r="B75" s="49">
        <v>3340.0742</v>
      </c>
      <c r="C75" s="50">
        <v>6.66</v>
      </c>
      <c r="D75" s="53">
        <f t="shared" si="2"/>
        <v>-1.5003753752345652E-3</v>
      </c>
      <c r="E75" s="53">
        <f t="shared" si="3"/>
        <v>1.8854651963629018E-4</v>
      </c>
    </row>
    <row r="76" spans="1:5">
      <c r="A76" s="48">
        <v>45736</v>
      </c>
      <c r="B76" s="52">
        <v>3340.7797</v>
      </c>
      <c r="C76" s="50">
        <v>6.64</v>
      </c>
      <c r="D76" s="53">
        <f t="shared" si="2"/>
        <v>-3.0075210639553284E-3</v>
      </c>
      <c r="E76" s="53">
        <f t="shared" si="3"/>
        <v>2.1120054806847646E-4</v>
      </c>
    </row>
    <row r="77" spans="1:5">
      <c r="A77" s="48">
        <v>45737</v>
      </c>
      <c r="B77" s="49">
        <v>3341.6567</v>
      </c>
      <c r="C77" s="50">
        <v>6.62</v>
      </c>
      <c r="D77" s="53">
        <f t="shared" si="2"/>
        <v>-3.0165935394255677E-3</v>
      </c>
      <c r="E77" s="53">
        <f t="shared" si="3"/>
        <v>2.6247911765679656E-4</v>
      </c>
    </row>
    <row r="78" spans="1:5">
      <c r="A78" s="48">
        <v>45740</v>
      </c>
      <c r="B78" s="49">
        <v>3344.0198999999998</v>
      </c>
      <c r="C78" s="50">
        <v>6.62</v>
      </c>
      <c r="D78" s="53">
        <f t="shared" si="2"/>
        <v>0</v>
      </c>
      <c r="E78" s="53">
        <f t="shared" si="3"/>
        <v>7.069441852515406E-4</v>
      </c>
    </row>
    <row r="79" spans="1:5">
      <c r="A79" s="48">
        <v>45741</v>
      </c>
      <c r="B79" s="52">
        <v>3344.9229999999998</v>
      </c>
      <c r="C79" s="50">
        <v>6.63</v>
      </c>
      <c r="D79" s="53">
        <f t="shared" si="2"/>
        <v>1.5094342488543404E-3</v>
      </c>
      <c r="E79" s="53">
        <f t="shared" si="3"/>
        <v>2.7002772156650115E-4</v>
      </c>
    </row>
    <row r="80" spans="1:5">
      <c r="A80" s="48">
        <v>45742</v>
      </c>
      <c r="B80" s="49">
        <v>3345.8420000000001</v>
      </c>
      <c r="C80" s="50">
        <v>6.6</v>
      </c>
      <c r="D80" s="53">
        <f t="shared" si="2"/>
        <v>-4.5351551653912622E-3</v>
      </c>
      <c r="E80" s="53">
        <f t="shared" si="3"/>
        <v>2.747070045890427E-4</v>
      </c>
    </row>
    <row r="81" spans="1:5">
      <c r="A81" s="48">
        <v>45743</v>
      </c>
      <c r="B81" s="52">
        <v>3345.9461999999999</v>
      </c>
      <c r="C81" s="50">
        <v>6.59</v>
      </c>
      <c r="D81" s="53">
        <f t="shared" si="2"/>
        <v>-1.5163005179639638E-3</v>
      </c>
      <c r="E81" s="53">
        <f t="shared" si="3"/>
        <v>3.1142647344420975E-5</v>
      </c>
    </row>
    <row r="82" spans="1:5">
      <c r="A82" s="48">
        <v>45744</v>
      </c>
      <c r="B82" s="49">
        <v>3349.5677999999998</v>
      </c>
      <c r="C82" s="50">
        <v>6.58</v>
      </c>
      <c r="D82" s="53">
        <f t="shared" si="2"/>
        <v>-1.5186031771900162E-3</v>
      </c>
      <c r="E82" s="53">
        <f t="shared" si="3"/>
        <v>1.0817990532746248E-3</v>
      </c>
    </row>
    <row r="83" spans="1:5">
      <c r="A83" s="48">
        <v>45749</v>
      </c>
      <c r="B83" s="52">
        <v>3353.8362000000002</v>
      </c>
      <c r="C83" s="50">
        <v>6.48</v>
      </c>
      <c r="D83" s="53">
        <f t="shared" si="2"/>
        <v>-1.5314234973042481E-2</v>
      </c>
      <c r="E83" s="53">
        <f t="shared" si="3"/>
        <v>1.2735024106789374E-3</v>
      </c>
    </row>
    <row r="84" spans="1:5">
      <c r="A84" s="48">
        <v>45750</v>
      </c>
      <c r="B84" s="49">
        <v>3355.239</v>
      </c>
      <c r="C84" s="50">
        <v>6.5</v>
      </c>
      <c r="D84" s="53">
        <f t="shared" si="2"/>
        <v>3.0816665374081144E-3</v>
      </c>
      <c r="E84" s="53">
        <f t="shared" si="3"/>
        <v>4.1817984703536494E-4</v>
      </c>
    </row>
    <row r="85" spans="1:5">
      <c r="A85" s="48">
        <v>45751</v>
      </c>
      <c r="B85" s="52">
        <v>3355.9328</v>
      </c>
      <c r="C85" s="50">
        <v>6.46</v>
      </c>
      <c r="D85" s="53">
        <f t="shared" si="2"/>
        <v>-6.1728591070809675E-3</v>
      </c>
      <c r="E85" s="53">
        <f t="shared" si="3"/>
        <v>2.0675972040283717E-4</v>
      </c>
    </row>
    <row r="86" spans="1:5">
      <c r="A86" s="48">
        <v>45754</v>
      </c>
      <c r="B86" s="52">
        <v>3357.4576000000002</v>
      </c>
      <c r="C86" s="50">
        <v>6.48</v>
      </c>
      <c r="D86" s="53">
        <f t="shared" si="2"/>
        <v>3.0911925696728796E-3</v>
      </c>
      <c r="E86" s="53">
        <f t="shared" si="3"/>
        <v>4.5425632515589965E-4</v>
      </c>
    </row>
    <row r="87" spans="1:5">
      <c r="A87" s="48">
        <v>45755</v>
      </c>
      <c r="B87" s="49">
        <v>3358.2094999999999</v>
      </c>
      <c r="C87" s="50">
        <v>6.47</v>
      </c>
      <c r="D87" s="53">
        <f t="shared" si="2"/>
        <v>-1.5444018513742473E-3</v>
      </c>
      <c r="E87" s="53">
        <f t="shared" si="3"/>
        <v>2.2392414392956791E-4</v>
      </c>
    </row>
    <row r="88" spans="1:5">
      <c r="A88" s="48">
        <v>45756</v>
      </c>
      <c r="B88" s="52">
        <v>3359.1414</v>
      </c>
      <c r="C88" s="50">
        <v>6.44</v>
      </c>
      <c r="D88" s="53">
        <f t="shared" si="2"/>
        <v>-4.6475683965468513E-3</v>
      </c>
      <c r="E88" s="53">
        <f t="shared" si="3"/>
        <v>2.7746057035021551E-4</v>
      </c>
    </row>
    <row r="89" spans="1:5">
      <c r="A89" s="48">
        <v>45758</v>
      </c>
      <c r="B89" s="52">
        <v>3360.2743</v>
      </c>
      <c r="C89" s="50">
        <v>6.44</v>
      </c>
      <c r="D89" s="53">
        <f t="shared" si="2"/>
        <v>0</v>
      </c>
      <c r="E89" s="53">
        <f t="shared" si="3"/>
        <v>3.3720194175065736E-4</v>
      </c>
    </row>
    <row r="90" spans="1:5">
      <c r="A90" s="48">
        <v>45762</v>
      </c>
      <c r="B90" s="49">
        <v>3362.7130000000002</v>
      </c>
      <c r="C90" s="50">
        <v>6.41</v>
      </c>
      <c r="D90" s="53">
        <f t="shared" si="2"/>
        <v>-4.6692691836836119E-3</v>
      </c>
      <c r="E90" s="53">
        <f t="shared" si="3"/>
        <v>7.2548109884489455E-4</v>
      </c>
    </row>
    <row r="91" spans="1:5">
      <c r="A91" s="48">
        <v>45763</v>
      </c>
      <c r="B91" s="52">
        <v>3363.2572</v>
      </c>
      <c r="C91" s="50">
        <v>6.39</v>
      </c>
      <c r="D91" s="53">
        <f t="shared" si="2"/>
        <v>-3.1250025431352776E-3</v>
      </c>
      <c r="E91" s="53">
        <f t="shared" si="3"/>
        <v>1.6182052105656234E-4</v>
      </c>
    </row>
    <row r="92" spans="1:5">
      <c r="A92" s="48">
        <v>45764</v>
      </c>
      <c r="B92" s="49">
        <v>3363.8020999999999</v>
      </c>
      <c r="C92" s="50">
        <v>6.37</v>
      </c>
      <c r="D92" s="53">
        <f t="shared" si="2"/>
        <v>-3.1347988053713918E-3</v>
      </c>
      <c r="E92" s="53">
        <f t="shared" si="3"/>
        <v>1.6200243728836701E-4</v>
      </c>
    </row>
    <row r="93" spans="1:5">
      <c r="A93" s="48">
        <v>45768</v>
      </c>
      <c r="B93" s="52">
        <v>3366.1466</v>
      </c>
      <c r="C93" s="50">
        <v>6.32</v>
      </c>
      <c r="D93" s="53">
        <f t="shared" si="2"/>
        <v>-7.880261425305863E-3</v>
      </c>
      <c r="E93" s="53">
        <f t="shared" si="3"/>
        <v>6.967363940955909E-4</v>
      </c>
    </row>
    <row r="94" spans="1:5">
      <c r="A94" s="48">
        <v>45769</v>
      </c>
      <c r="B94" s="49">
        <v>3366.741</v>
      </c>
      <c r="C94" s="50">
        <v>6.32</v>
      </c>
      <c r="D94" s="53">
        <f t="shared" si="2"/>
        <v>0</v>
      </c>
      <c r="E94" s="53">
        <f t="shared" si="3"/>
        <v>1.7656614423331875E-4</v>
      </c>
    </row>
    <row r="95" spans="1:5">
      <c r="A95" s="48">
        <v>45770</v>
      </c>
      <c r="B95" s="52">
        <v>3367.3404999999998</v>
      </c>
      <c r="C95" s="50">
        <v>6.33</v>
      </c>
      <c r="D95" s="53">
        <f t="shared" si="2"/>
        <v>1.5810279973187732E-3</v>
      </c>
      <c r="E95" s="53">
        <f t="shared" si="3"/>
        <v>1.7804952363100762E-4</v>
      </c>
    </row>
    <row r="96" spans="1:5">
      <c r="A96" s="48">
        <v>45771</v>
      </c>
      <c r="B96" s="49">
        <v>3367.9236000000001</v>
      </c>
      <c r="C96" s="50">
        <v>6.32</v>
      </c>
      <c r="D96" s="53">
        <f t="shared" si="2"/>
        <v>-1.5810279973187068E-3</v>
      </c>
      <c r="E96" s="53">
        <f t="shared" si="3"/>
        <v>1.7314837036808316E-4</v>
      </c>
    </row>
    <row r="97" spans="1:5">
      <c r="A97" s="48">
        <v>45772</v>
      </c>
      <c r="B97" s="52">
        <v>3368.4319999999998</v>
      </c>
      <c r="C97" s="50">
        <v>6.36</v>
      </c>
      <c r="D97" s="53">
        <f t="shared" si="2"/>
        <v>6.3091691932647556E-3</v>
      </c>
      <c r="E97" s="53">
        <f t="shared" si="3"/>
        <v>1.5094215066814738E-4</v>
      </c>
    </row>
    <row r="98" spans="1:5">
      <c r="A98" s="48">
        <v>45775</v>
      </c>
      <c r="B98" s="52">
        <v>3370.0097000000001</v>
      </c>
      <c r="C98" s="50">
        <v>6.3419999999999996</v>
      </c>
      <c r="D98" s="53">
        <f t="shared" si="2"/>
        <v>-2.8342012358752488E-3</v>
      </c>
      <c r="E98" s="53">
        <f t="shared" si="3"/>
        <v>4.6826851045677031E-4</v>
      </c>
    </row>
    <row r="99" spans="1:5">
      <c r="A99" s="48">
        <v>45776</v>
      </c>
      <c r="B99" s="49">
        <v>3370.3721</v>
      </c>
      <c r="C99" s="50">
        <v>6.3579999999999997</v>
      </c>
      <c r="D99" s="53">
        <f t="shared" si="2"/>
        <v>2.5196863724554555E-3</v>
      </c>
      <c r="E99" s="53">
        <f t="shared" si="3"/>
        <v>1.0753100079548175E-4</v>
      </c>
    </row>
    <row r="100" spans="1:5">
      <c r="A100" s="48">
        <v>45778</v>
      </c>
      <c r="B100" s="49">
        <v>3371.5643</v>
      </c>
      <c r="C100" s="50">
        <v>6.3559999999999999</v>
      </c>
      <c r="D100" s="53">
        <f t="shared" si="2"/>
        <v>-3.1461381414140977E-4</v>
      </c>
      <c r="E100" s="53">
        <f t="shared" si="3"/>
        <v>3.5366694127418098E-4</v>
      </c>
    </row>
    <row r="101" spans="1:5">
      <c r="A101" s="48">
        <v>45781</v>
      </c>
      <c r="B101" s="49">
        <v>3373.3150999999998</v>
      </c>
      <c r="C101" s="50">
        <v>6.3230000000000004</v>
      </c>
      <c r="D101" s="53">
        <f t="shared" si="2"/>
        <v>-5.2054695979933145E-3</v>
      </c>
      <c r="E101" s="53">
        <f t="shared" si="3"/>
        <v>5.1914939778531857E-4</v>
      </c>
    </row>
    <row r="102" spans="1:5">
      <c r="A102" s="48">
        <v>45782</v>
      </c>
      <c r="B102" s="52">
        <v>3373.9879000000001</v>
      </c>
      <c r="C102" s="50">
        <v>6.35</v>
      </c>
      <c r="D102" s="53">
        <f t="shared" si="2"/>
        <v>4.2610338281240945E-3</v>
      </c>
      <c r="E102" s="53">
        <f t="shared" si="3"/>
        <v>1.9942783130695317E-4</v>
      </c>
    </row>
    <row r="103" spans="1:5">
      <c r="A103" s="48">
        <v>45783</v>
      </c>
      <c r="B103" s="49">
        <v>3374.5637999999999</v>
      </c>
      <c r="C103" s="50">
        <v>6.3369999999999997</v>
      </c>
      <c r="D103" s="53">
        <f t="shared" si="2"/>
        <v>-2.0493425632203718E-3</v>
      </c>
      <c r="E103" s="53">
        <f t="shared" si="3"/>
        <v>1.7067365769679387E-4</v>
      </c>
    </row>
    <row r="104" spans="1:5">
      <c r="A104" s="48">
        <v>45784</v>
      </c>
      <c r="B104" s="52">
        <v>3375.0486999999998</v>
      </c>
      <c r="C104" s="50">
        <v>6.3949999999999996</v>
      </c>
      <c r="D104" s="53">
        <f t="shared" si="2"/>
        <v>9.1109646894259669E-3</v>
      </c>
      <c r="E104" s="53">
        <f t="shared" si="3"/>
        <v>1.4368232275092208E-4</v>
      </c>
    </row>
    <row r="105" spans="1:5">
      <c r="A105" s="48">
        <v>45785</v>
      </c>
      <c r="B105" s="49">
        <v>3375.4983999999999</v>
      </c>
      <c r="C105" s="50">
        <v>6.3769999999999998</v>
      </c>
      <c r="D105" s="53">
        <f t="shared" si="2"/>
        <v>-2.8186676976714037E-3</v>
      </c>
      <c r="E105" s="53">
        <f t="shared" si="3"/>
        <v>1.332336458077563E-4</v>
      </c>
    </row>
    <row r="106" spans="1:5">
      <c r="A106" s="48">
        <v>45789</v>
      </c>
      <c r="B106" s="52">
        <v>3377.58</v>
      </c>
      <c r="C106" s="50">
        <v>6.2850000000000001</v>
      </c>
      <c r="D106" s="53">
        <f t="shared" si="2"/>
        <v>-1.4531925290923734E-2</v>
      </c>
      <c r="E106" s="53">
        <f t="shared" si="3"/>
        <v>6.1648923428088453E-4</v>
      </c>
    </row>
    <row r="107" spans="1:5">
      <c r="A107" s="48">
        <v>45790</v>
      </c>
      <c r="B107" s="49">
        <v>3378.5346</v>
      </c>
      <c r="C107" s="50">
        <v>6.242</v>
      </c>
      <c r="D107" s="53">
        <f t="shared" si="2"/>
        <v>-6.8651981936230667E-3</v>
      </c>
      <c r="E107" s="53">
        <f t="shared" si="3"/>
        <v>2.8258845886145346E-4</v>
      </c>
    </row>
    <row r="108" spans="1:5">
      <c r="A108" s="48">
        <v>45791</v>
      </c>
      <c r="B108" s="52">
        <v>3379.2874000000002</v>
      </c>
      <c r="C108" s="50">
        <v>6.2309999999999999</v>
      </c>
      <c r="D108" s="53">
        <f t="shared" si="2"/>
        <v>-1.7638102865027477E-3</v>
      </c>
      <c r="E108" s="53">
        <f t="shared" si="3"/>
        <v>2.2279367616197872E-4</v>
      </c>
    </row>
    <row r="109" spans="1:5">
      <c r="A109" s="48">
        <v>45792</v>
      </c>
      <c r="B109" s="49">
        <v>3379.8397</v>
      </c>
      <c r="C109" s="50">
        <v>6.22</v>
      </c>
      <c r="D109" s="53">
        <f t="shared" si="2"/>
        <v>-1.7669268109969259E-3</v>
      </c>
      <c r="E109" s="53">
        <f t="shared" si="3"/>
        <v>1.634234696457732E-4</v>
      </c>
    </row>
    <row r="110" spans="1:5">
      <c r="A110" s="48">
        <v>45793</v>
      </c>
      <c r="B110" s="52">
        <v>3380.5506</v>
      </c>
      <c r="C110" s="50">
        <v>6.22</v>
      </c>
      <c r="D110" s="53">
        <f t="shared" si="2"/>
        <v>0</v>
      </c>
      <c r="E110" s="53">
        <f t="shared" si="3"/>
        <v>2.1031330176909371E-4</v>
      </c>
    </row>
    <row r="111" spans="1:5">
      <c r="A111" s="48">
        <v>45796</v>
      </c>
      <c r="B111" s="52">
        <v>3382.4198999999999</v>
      </c>
      <c r="C111" s="50">
        <v>6.23</v>
      </c>
      <c r="D111" s="53">
        <f t="shared" si="2"/>
        <v>1.6064260482737947E-3</v>
      </c>
      <c r="E111" s="53">
        <f t="shared" si="3"/>
        <v>5.5280443633553644E-4</v>
      </c>
    </row>
    <row r="112" spans="1:5">
      <c r="A112" s="48">
        <v>45797</v>
      </c>
      <c r="B112" s="49">
        <v>3383.0513999999998</v>
      </c>
      <c r="C112" s="50">
        <v>6.22</v>
      </c>
      <c r="D112" s="53">
        <f t="shared" si="2"/>
        <v>-1.606426048273799E-3</v>
      </c>
      <c r="E112" s="53">
        <f t="shared" si="3"/>
        <v>1.8668322540488368E-4</v>
      </c>
    </row>
    <row r="113" spans="1:5">
      <c r="A113" s="48">
        <v>45798</v>
      </c>
      <c r="B113" s="52">
        <v>3383.8631999999998</v>
      </c>
      <c r="C113" s="50">
        <v>6.19</v>
      </c>
      <c r="D113" s="53">
        <f t="shared" si="2"/>
        <v>-4.8348200545832928E-3</v>
      </c>
      <c r="E113" s="53">
        <f t="shared" si="3"/>
        <v>2.3993209664408547E-4</v>
      </c>
    </row>
    <row r="114" spans="1:5">
      <c r="A114" s="48">
        <v>45799</v>
      </c>
      <c r="B114" s="49">
        <v>3384.7148999999999</v>
      </c>
      <c r="C114" s="50">
        <v>6.21</v>
      </c>
      <c r="D114" s="53">
        <f t="shared" si="2"/>
        <v>3.2258092488825687E-3</v>
      </c>
      <c r="E114" s="53">
        <f t="shared" si="3"/>
        <v>2.5166290228525925E-4</v>
      </c>
    </row>
    <row r="115" spans="1:5">
      <c r="A115" s="48">
        <v>45800</v>
      </c>
      <c r="B115" s="52">
        <v>3385.4056</v>
      </c>
      <c r="C115" s="50">
        <v>6.21</v>
      </c>
      <c r="D115" s="53">
        <f t="shared" si="2"/>
        <v>0</v>
      </c>
      <c r="E115" s="53">
        <f t="shared" si="3"/>
        <v>2.0404363626797477E-4</v>
      </c>
    </row>
    <row r="116" spans="1:5">
      <c r="A116" s="48">
        <v>45803</v>
      </c>
      <c r="B116" s="52">
        <v>3387.1882999999998</v>
      </c>
      <c r="C116" s="50">
        <v>6.2</v>
      </c>
      <c r="D116" s="53">
        <f t="shared" si="2"/>
        <v>-1.6116038943415328E-3</v>
      </c>
      <c r="E116" s="53">
        <f t="shared" si="3"/>
        <v>5.2644527857242853E-4</v>
      </c>
    </row>
    <row r="117" spans="1:5">
      <c r="A117" s="48">
        <v>45804</v>
      </c>
      <c r="B117" s="49">
        <v>3387.7309</v>
      </c>
      <c r="C117" s="50">
        <v>6.2</v>
      </c>
      <c r="D117" s="53">
        <f t="shared" si="2"/>
        <v>0</v>
      </c>
      <c r="E117" s="53">
        <f t="shared" si="3"/>
        <v>1.6017903244085722E-4</v>
      </c>
    </row>
    <row r="118" spans="1:5">
      <c r="A118" s="48">
        <v>45805</v>
      </c>
      <c r="B118" s="52">
        <v>3388.3607999999999</v>
      </c>
      <c r="C118" s="50">
        <v>6.16</v>
      </c>
      <c r="D118" s="53">
        <f t="shared" si="2"/>
        <v>-6.4725145056174788E-3</v>
      </c>
      <c r="E118" s="53">
        <f t="shared" si="3"/>
        <v>1.8591838177581225E-4</v>
      </c>
    </row>
    <row r="119" spans="1:5">
      <c r="A119" s="48">
        <v>45806</v>
      </c>
      <c r="B119" s="49">
        <v>3388.9425999999999</v>
      </c>
      <c r="C119" s="50">
        <v>6.18</v>
      </c>
      <c r="D119" s="53">
        <f t="shared" si="2"/>
        <v>3.2414939241710229E-3</v>
      </c>
      <c r="E119" s="53">
        <f t="shared" si="3"/>
        <v>1.7169070560691256E-4</v>
      </c>
    </row>
    <row r="120" spans="1:5">
      <c r="A120" s="48">
        <v>45807</v>
      </c>
      <c r="B120" s="52">
        <v>3389.5574999999999</v>
      </c>
      <c r="C120" s="50">
        <v>6.2</v>
      </c>
      <c r="D120" s="53">
        <f t="shared" si="2"/>
        <v>3.23102058144654E-3</v>
      </c>
      <c r="E120" s="53">
        <f t="shared" si="3"/>
        <v>1.8142656712119359E-4</v>
      </c>
    </row>
    <row r="121" spans="1:5">
      <c r="A121" s="48">
        <v>45810</v>
      </c>
      <c r="B121" s="52">
        <v>3391.2954</v>
      </c>
      <c r="C121" s="50">
        <v>6.22</v>
      </c>
      <c r="D121" s="53">
        <f t="shared" si="2"/>
        <v>3.2206147000421572E-3</v>
      </c>
      <c r="E121" s="53">
        <f t="shared" si="3"/>
        <v>5.1259039642416937E-4</v>
      </c>
    </row>
    <row r="122" spans="1:5">
      <c r="A122" s="48">
        <v>45811</v>
      </c>
      <c r="B122" s="49">
        <v>3392.011</v>
      </c>
      <c r="C122" s="50">
        <v>6.2</v>
      </c>
      <c r="D122" s="53">
        <f t="shared" si="2"/>
        <v>-3.2206147000421719E-3</v>
      </c>
      <c r="E122" s="53">
        <f t="shared" si="3"/>
        <v>2.1098855350377331E-4</v>
      </c>
    </row>
    <row r="123" spans="1:5">
      <c r="A123" s="48">
        <v>45812</v>
      </c>
      <c r="B123" s="52">
        <v>3392.5212999999999</v>
      </c>
      <c r="C123" s="50">
        <v>6.21</v>
      </c>
      <c r="D123" s="53">
        <f t="shared" si="2"/>
        <v>1.6116038943413912E-3</v>
      </c>
      <c r="E123" s="53">
        <f t="shared" si="3"/>
        <v>1.504304138877406E-4</v>
      </c>
    </row>
    <row r="124" spans="1:5">
      <c r="A124" s="48">
        <v>45813</v>
      </c>
      <c r="B124" s="49">
        <v>3393.1597999999999</v>
      </c>
      <c r="C124" s="50">
        <v>6.18</v>
      </c>
      <c r="D124" s="53">
        <f t="shared" si="2"/>
        <v>-4.8426244757880151E-3</v>
      </c>
      <c r="E124" s="53">
        <f t="shared" si="3"/>
        <v>1.881903945897699E-4</v>
      </c>
    </row>
    <row r="125" spans="1:5">
      <c r="A125" s="48">
        <v>45814</v>
      </c>
      <c r="B125" s="52">
        <v>3395.3164000000002</v>
      </c>
      <c r="C125" s="50">
        <v>6.23</v>
      </c>
      <c r="D125" s="53">
        <f t="shared" si="2"/>
        <v>8.0580613297624414E-3</v>
      </c>
      <c r="E125" s="53">
        <f t="shared" si="3"/>
        <v>6.3537088707804168E-4</v>
      </c>
    </row>
    <row r="126" spans="1:5">
      <c r="A126" s="48">
        <v>45817</v>
      </c>
      <c r="B126" s="52">
        <v>3396.9937</v>
      </c>
      <c r="C126" s="50">
        <v>6.27</v>
      </c>
      <c r="D126" s="53">
        <f t="shared" si="2"/>
        <v>6.4000218454675047E-3</v>
      </c>
      <c r="E126" s="53">
        <f t="shared" si="3"/>
        <v>4.9388205467637526E-4</v>
      </c>
    </row>
    <row r="127" spans="1:5">
      <c r="A127" s="48">
        <v>45818</v>
      </c>
      <c r="B127" s="49">
        <v>3397.4888000000001</v>
      </c>
      <c r="C127" s="50">
        <v>6.28</v>
      </c>
      <c r="D127" s="53">
        <f t="shared" si="2"/>
        <v>1.593625835278026E-3</v>
      </c>
      <c r="E127" s="53">
        <f t="shared" si="3"/>
        <v>1.4573589699477647E-4</v>
      </c>
    </row>
    <row r="128" spans="1:5">
      <c r="A128" s="48">
        <v>45819</v>
      </c>
      <c r="B128" s="52">
        <v>3397.8625999999999</v>
      </c>
      <c r="C128" s="50">
        <v>6.29</v>
      </c>
      <c r="D128" s="53">
        <f t="shared" si="2"/>
        <v>1.5910902322419035E-3</v>
      </c>
      <c r="E128" s="53">
        <f t="shared" si="3"/>
        <v>1.1001638572410007E-4</v>
      </c>
    </row>
    <row r="129" spans="1:5">
      <c r="A129" s="48">
        <v>45820</v>
      </c>
      <c r="B129" s="49">
        <v>3398.1806000000001</v>
      </c>
      <c r="C129" s="50">
        <v>6.28</v>
      </c>
      <c r="D129" s="53">
        <f t="shared" si="2"/>
        <v>-1.5910902322418517E-3</v>
      </c>
      <c r="E129" s="53">
        <f t="shared" si="3"/>
        <v>9.3583866633588719E-5</v>
      </c>
    </row>
    <row r="130" spans="1:5">
      <c r="A130" s="48">
        <v>45821</v>
      </c>
      <c r="B130" s="52">
        <v>3398.6174999999998</v>
      </c>
      <c r="C130" s="50">
        <v>6.29</v>
      </c>
      <c r="D130" s="53">
        <f t="shared" si="2"/>
        <v>1.5910902322419035E-3</v>
      </c>
      <c r="E130" s="53">
        <f t="shared" si="3"/>
        <v>1.285605351737086E-4</v>
      </c>
    </row>
    <row r="131" spans="1:5">
      <c r="A131" s="48">
        <v>45824</v>
      </c>
      <c r="B131" s="52">
        <v>3400.0963000000002</v>
      </c>
      <c r="C131" s="50">
        <v>6.26</v>
      </c>
      <c r="D131" s="53">
        <f t="shared" si="2"/>
        <v>-4.7808856003420082E-3</v>
      </c>
      <c r="E131" s="53">
        <f t="shared" si="3"/>
        <v>4.3502346673926354E-4</v>
      </c>
    </row>
    <row r="132" spans="1:5">
      <c r="A132" s="48">
        <v>45825</v>
      </c>
      <c r="B132" s="49">
        <v>3400.6786000000002</v>
      </c>
      <c r="C132" s="50">
        <v>6.25</v>
      </c>
      <c r="D132" s="53">
        <f t="shared" ref="D132:D195" si="4">LN(C132/C131)</f>
        <v>-1.5987213636969929E-3</v>
      </c>
      <c r="E132" s="53">
        <f t="shared" ref="E132:E195" si="5">LN(B132/B131)</f>
        <v>1.7124519190396594E-4</v>
      </c>
    </row>
    <row r="133" spans="1:5">
      <c r="A133" s="48">
        <v>45826</v>
      </c>
      <c r="B133" s="52">
        <v>3401.1853000000001</v>
      </c>
      <c r="C133" s="50">
        <v>6.25</v>
      </c>
      <c r="D133" s="53">
        <f t="shared" si="4"/>
        <v>0</v>
      </c>
      <c r="E133" s="53">
        <f t="shared" si="5"/>
        <v>1.4898857383415174E-4</v>
      </c>
    </row>
    <row r="134" spans="1:5">
      <c r="A134" s="48">
        <v>45827</v>
      </c>
      <c r="B134" s="49">
        <v>3401.8031999999998</v>
      </c>
      <c r="C134" s="50">
        <v>6.3</v>
      </c>
      <c r="D134" s="53">
        <f t="shared" si="4"/>
        <v>7.9681696491768813E-3</v>
      </c>
      <c r="E134" s="53">
        <f t="shared" si="5"/>
        <v>1.816554597141099E-4</v>
      </c>
    </row>
    <row r="135" spans="1:5">
      <c r="A135" s="48">
        <v>45828</v>
      </c>
      <c r="B135" s="52">
        <v>3402.3658</v>
      </c>
      <c r="C135" s="50">
        <v>6.31</v>
      </c>
      <c r="D135" s="53">
        <f t="shared" si="4"/>
        <v>1.5860431556347797E-3</v>
      </c>
      <c r="E135" s="53">
        <f t="shared" si="5"/>
        <v>1.6536920269976686E-4</v>
      </c>
    </row>
    <row r="136" spans="1:5">
      <c r="A136" s="48">
        <v>45831</v>
      </c>
      <c r="B136" s="52">
        <v>3404.0441000000001</v>
      </c>
      <c r="C136" s="50">
        <v>6.3</v>
      </c>
      <c r="D136" s="53">
        <f t="shared" si="4"/>
        <v>-1.5860431556347402E-3</v>
      </c>
      <c r="E136" s="53">
        <f t="shared" si="5"/>
        <v>4.9315279528295165E-4</v>
      </c>
    </row>
    <row r="137" spans="1:5">
      <c r="A137" s="48">
        <v>45832</v>
      </c>
      <c r="B137" s="49">
        <v>3404.6037999999999</v>
      </c>
      <c r="C137" s="50">
        <v>6.24</v>
      </c>
      <c r="D137" s="53">
        <f t="shared" si="4"/>
        <v>-9.5694510161506725E-3</v>
      </c>
      <c r="E137" s="53">
        <f t="shared" si="5"/>
        <v>1.6440856084242125E-4</v>
      </c>
    </row>
    <row r="138" spans="1:5">
      <c r="A138" s="48">
        <v>45833</v>
      </c>
      <c r="B138" s="52">
        <v>3404.9616999999998</v>
      </c>
      <c r="C138" s="50">
        <v>6.28</v>
      </c>
      <c r="D138" s="53">
        <f t="shared" si="4"/>
        <v>6.3897980987709883E-3</v>
      </c>
      <c r="E138" s="53">
        <f t="shared" si="5"/>
        <v>1.0511683904931569E-4</v>
      </c>
    </row>
    <row r="139" spans="1:5">
      <c r="A139" s="48">
        <v>45834</v>
      </c>
      <c r="B139" s="49">
        <v>3405.4191000000001</v>
      </c>
      <c r="C139" s="50">
        <v>6.27</v>
      </c>
      <c r="D139" s="53">
        <f t="shared" si="4"/>
        <v>-1.593625835278036E-3</v>
      </c>
      <c r="E139" s="53">
        <f t="shared" si="5"/>
        <v>1.3432435398852581E-4</v>
      </c>
    </row>
    <row r="140" spans="1:5">
      <c r="A140" s="48">
        <v>45835</v>
      </c>
      <c r="B140" s="52">
        <v>3405.7617</v>
      </c>
      <c r="C140" s="50">
        <v>6.31</v>
      </c>
      <c r="D140" s="53">
        <f t="shared" si="4"/>
        <v>6.3593219082924216E-3</v>
      </c>
      <c r="E140" s="53">
        <f t="shared" si="5"/>
        <v>1.0059929705253271E-4</v>
      </c>
    </row>
    <row r="141" spans="1:5">
      <c r="A141" s="48">
        <v>45838</v>
      </c>
      <c r="B141" s="52">
        <v>3407.8422999999998</v>
      </c>
      <c r="C141" s="50">
        <v>6.31</v>
      </c>
      <c r="D141" s="53">
        <f t="shared" si="4"/>
        <v>0</v>
      </c>
      <c r="E141" s="53">
        <f t="shared" si="5"/>
        <v>6.1071939744889879E-4</v>
      </c>
    </row>
    <row r="142" spans="1:5">
      <c r="A142" s="48">
        <v>45839</v>
      </c>
      <c r="B142" s="49">
        <v>3408.7002000000002</v>
      </c>
      <c r="C142" s="50">
        <v>6.29</v>
      </c>
      <c r="D142" s="53">
        <f t="shared" si="4"/>
        <v>-3.1746058407725423E-3</v>
      </c>
      <c r="E142" s="53">
        <f t="shared" si="5"/>
        <v>2.5171118775546884E-4</v>
      </c>
    </row>
    <row r="143" spans="1:5">
      <c r="A143" s="48">
        <v>45840</v>
      </c>
      <c r="B143" s="52">
        <v>3409.4737</v>
      </c>
      <c r="C143" s="50">
        <v>6.28</v>
      </c>
      <c r="D143" s="53">
        <f t="shared" si="4"/>
        <v>-1.5910902322418517E-3</v>
      </c>
      <c r="E143" s="53">
        <f t="shared" si="5"/>
        <v>2.2689359780574505E-4</v>
      </c>
    </row>
    <row r="144" spans="1:5">
      <c r="A144" s="48">
        <v>45841</v>
      </c>
      <c r="B144" s="49">
        <v>3410.2078999999999</v>
      </c>
      <c r="C144" s="50">
        <v>6.28</v>
      </c>
      <c r="D144" s="53">
        <f t="shared" si="4"/>
        <v>0</v>
      </c>
      <c r="E144" s="53">
        <f t="shared" si="5"/>
        <v>2.1531797110186361E-4</v>
      </c>
    </row>
    <row r="145" spans="1:5">
      <c r="A145" s="48">
        <v>45842</v>
      </c>
      <c r="B145" s="52">
        <v>3410.7768000000001</v>
      </c>
      <c r="C145" s="50">
        <v>6.29</v>
      </c>
      <c r="D145" s="53">
        <f t="shared" si="4"/>
        <v>1.5910902322419035E-3</v>
      </c>
      <c r="E145" s="53">
        <f t="shared" si="5"/>
        <v>1.6680876041832624E-4</v>
      </c>
    </row>
    <row r="146" spans="1:5">
      <c r="A146" s="48">
        <v>45845</v>
      </c>
      <c r="B146" s="52">
        <v>3412.5214999999998</v>
      </c>
      <c r="C146" s="50">
        <v>6.2939999999999996</v>
      </c>
      <c r="D146" s="53">
        <f t="shared" si="4"/>
        <v>6.3572792986579113E-4</v>
      </c>
      <c r="E146" s="53">
        <f t="shared" si="5"/>
        <v>5.1139491820937841E-4</v>
      </c>
    </row>
    <row r="147" spans="1:5">
      <c r="A147" s="48">
        <v>45846</v>
      </c>
      <c r="B147" s="49">
        <v>3412.9861999999998</v>
      </c>
      <c r="C147" s="50">
        <v>6.306</v>
      </c>
      <c r="D147" s="53">
        <f t="shared" si="4"/>
        <v>1.9047624806541037E-3</v>
      </c>
      <c r="E147" s="53">
        <f t="shared" si="5"/>
        <v>1.3616569525457228E-4</v>
      </c>
    </row>
    <row r="148" spans="1:5">
      <c r="A148" s="48">
        <v>45847</v>
      </c>
      <c r="B148" s="52">
        <v>3413.3775000000001</v>
      </c>
      <c r="C148" s="50">
        <v>6.3140000000000001</v>
      </c>
      <c r="D148" s="53">
        <f t="shared" si="4"/>
        <v>1.26782901293076E-3</v>
      </c>
      <c r="E148" s="53">
        <f t="shared" si="5"/>
        <v>1.1464375987722018E-4</v>
      </c>
    </row>
    <row r="149" spans="1:5">
      <c r="A149" s="48">
        <v>45848</v>
      </c>
      <c r="B149" s="49">
        <v>3413.8631999999998</v>
      </c>
      <c r="C149" s="50">
        <v>6.3179999999999996</v>
      </c>
      <c r="D149" s="53">
        <f t="shared" si="4"/>
        <v>6.333122440935348E-4</v>
      </c>
      <c r="E149" s="53">
        <f t="shared" si="5"/>
        <v>1.4228295798009982E-4</v>
      </c>
    </row>
    <row r="150" spans="1:5">
      <c r="A150" s="48">
        <v>45849</v>
      </c>
      <c r="B150" s="52">
        <v>3414.2858000000001</v>
      </c>
      <c r="C150" s="50">
        <v>6.3040000000000003</v>
      </c>
      <c r="D150" s="53">
        <f t="shared" si="4"/>
        <v>-2.2183498243153873E-3</v>
      </c>
      <c r="E150" s="53">
        <f t="shared" si="5"/>
        <v>1.2378171611082721E-4</v>
      </c>
    </row>
    <row r="151" spans="1:5">
      <c r="A151" s="48">
        <v>45852</v>
      </c>
      <c r="B151" s="52">
        <v>3415.9895999999999</v>
      </c>
      <c r="C151" s="50">
        <v>6.3109999999999999</v>
      </c>
      <c r="D151" s="53">
        <f t="shared" si="4"/>
        <v>1.1097900465243909E-3</v>
      </c>
      <c r="E151" s="53">
        <f t="shared" si="5"/>
        <v>4.9889643844784615E-4</v>
      </c>
    </row>
    <row r="152" spans="1:5">
      <c r="A152" s="48">
        <v>45853</v>
      </c>
      <c r="B152" s="49">
        <v>3416.4508999999998</v>
      </c>
      <c r="C152" s="50">
        <v>6.3129999999999997</v>
      </c>
      <c r="D152" s="53">
        <f t="shared" si="4"/>
        <v>3.1685678338608529E-4</v>
      </c>
      <c r="E152" s="53">
        <f t="shared" si="5"/>
        <v>1.3503227747128219E-4</v>
      </c>
    </row>
    <row r="153" spans="1:5">
      <c r="A153" s="48">
        <v>45854</v>
      </c>
      <c r="B153" s="52">
        <v>3417.0201000000002</v>
      </c>
      <c r="C153" s="50">
        <v>6.3129999999999997</v>
      </c>
      <c r="D153" s="53">
        <f t="shared" si="4"/>
        <v>0</v>
      </c>
      <c r="E153" s="53">
        <f t="shared" si="5"/>
        <v>1.6659176612208735E-4</v>
      </c>
    </row>
    <row r="154" spans="1:5">
      <c r="A154" s="48">
        <v>45855</v>
      </c>
      <c r="B154" s="49">
        <v>3417.5601000000001</v>
      </c>
      <c r="C154" s="50">
        <v>6.3019999999999996</v>
      </c>
      <c r="D154" s="53">
        <f t="shared" si="4"/>
        <v>-1.7439560504057558E-3</v>
      </c>
      <c r="E154" s="53">
        <f t="shared" si="5"/>
        <v>1.5801994718665432E-4</v>
      </c>
    </row>
    <row r="155" spans="1:5">
      <c r="A155" s="48">
        <v>45856</v>
      </c>
      <c r="B155" s="52">
        <v>3418.0272</v>
      </c>
      <c r="C155" s="50">
        <v>6.3049999999999997</v>
      </c>
      <c r="D155" s="53">
        <f t="shared" si="4"/>
        <v>4.7592608179998047E-4</v>
      </c>
      <c r="E155" s="53">
        <f t="shared" si="5"/>
        <v>1.3666711585312206E-4</v>
      </c>
    </row>
    <row r="156" spans="1:5">
      <c r="A156" s="48">
        <v>45859</v>
      </c>
      <c r="B156" s="52">
        <v>3419.5117</v>
      </c>
      <c r="C156" s="50">
        <v>6.2990000000000004</v>
      </c>
      <c r="D156" s="53">
        <f t="shared" si="4"/>
        <v>-9.5207877709080769E-4</v>
      </c>
      <c r="E156" s="53">
        <f t="shared" si="5"/>
        <v>4.3422057118390527E-4</v>
      </c>
    </row>
    <row r="157" spans="1:5">
      <c r="A157" s="48">
        <v>45860</v>
      </c>
      <c r="B157" s="49">
        <v>3420.0466000000001</v>
      </c>
      <c r="C157" s="50">
        <v>6.3079999999999998</v>
      </c>
      <c r="D157" s="53">
        <f t="shared" si="4"/>
        <v>1.4277784609998659E-3</v>
      </c>
      <c r="E157" s="53">
        <f t="shared" si="5"/>
        <v>1.5641360965964337E-4</v>
      </c>
    </row>
    <row r="158" spans="1:5">
      <c r="A158" s="48">
        <v>45861</v>
      </c>
      <c r="B158" s="52">
        <v>3420.5792999999999</v>
      </c>
      <c r="C158" s="50">
        <v>6.3120000000000003</v>
      </c>
      <c r="D158" s="53">
        <f t="shared" si="4"/>
        <v>6.3391444278132817E-4</v>
      </c>
      <c r="E158" s="53">
        <f t="shared" si="5"/>
        <v>1.5574598256462915E-4</v>
      </c>
    </row>
    <row r="159" spans="1:5">
      <c r="A159" s="48">
        <v>45862</v>
      </c>
      <c r="B159" s="49">
        <v>3421.0621000000001</v>
      </c>
      <c r="C159" s="50">
        <v>6.3289999999999997</v>
      </c>
      <c r="D159" s="53">
        <f t="shared" si="4"/>
        <v>2.6896622495950102E-3</v>
      </c>
      <c r="E159" s="53">
        <f t="shared" si="5"/>
        <v>1.4113572243110777E-4</v>
      </c>
    </row>
    <row r="160" spans="1:5">
      <c r="A160" s="48">
        <v>45863</v>
      </c>
      <c r="B160" s="52">
        <v>3421.5239999999999</v>
      </c>
      <c r="C160" s="50">
        <v>6.3529999999999998</v>
      </c>
      <c r="D160" s="53">
        <f t="shared" si="4"/>
        <v>3.7848964912278148E-3</v>
      </c>
      <c r="E160" s="53">
        <f t="shared" si="5"/>
        <v>1.3500743547855792E-4</v>
      </c>
    </row>
    <row r="161" spans="1:5">
      <c r="A161" s="48">
        <v>45866</v>
      </c>
      <c r="B161" s="52">
        <v>3423.0464999999999</v>
      </c>
      <c r="C161" s="50">
        <v>6.3730000000000002</v>
      </c>
      <c r="D161" s="53">
        <f t="shared" si="4"/>
        <v>3.1431740477609357E-3</v>
      </c>
      <c r="E161" s="53">
        <f t="shared" si="5"/>
        <v>4.4487817755995915E-4</v>
      </c>
    </row>
    <row r="162" spans="1:5">
      <c r="A162" s="48">
        <v>45867</v>
      </c>
      <c r="B162" s="49">
        <v>3423.5329999999999</v>
      </c>
      <c r="C162" s="50">
        <v>6.3689999999999998</v>
      </c>
      <c r="D162" s="53">
        <f t="shared" si="4"/>
        <v>-6.2784494292843023E-4</v>
      </c>
      <c r="E162" s="53">
        <f t="shared" si="5"/>
        <v>1.4211475987928684E-4</v>
      </c>
    </row>
    <row r="163" spans="1:5">
      <c r="A163" s="48">
        <v>45868</v>
      </c>
      <c r="B163" s="52">
        <v>3423.9133999999999</v>
      </c>
      <c r="C163" s="50">
        <v>6.3650000000000002</v>
      </c>
      <c r="D163" s="53">
        <f t="shared" si="4"/>
        <v>-6.2823937985878077E-4</v>
      </c>
      <c r="E163" s="53">
        <f t="shared" si="5"/>
        <v>1.1110711297898808E-4</v>
      </c>
    </row>
    <row r="164" spans="1:5">
      <c r="A164" s="48">
        <v>45869</v>
      </c>
      <c r="B164" s="49">
        <v>3424.4949000000001</v>
      </c>
      <c r="C164" s="50">
        <v>6.3760000000000003</v>
      </c>
      <c r="D164" s="53">
        <f t="shared" si="4"/>
        <v>1.7267094785440853E-3</v>
      </c>
      <c r="E164" s="53">
        <f t="shared" si="5"/>
        <v>1.6982048263620042E-4</v>
      </c>
    </row>
    <row r="165" spans="1:5">
      <c r="A165" s="48">
        <v>45870</v>
      </c>
      <c r="B165" s="52">
        <v>3425.0524</v>
      </c>
      <c r="C165" s="50">
        <v>6.3710000000000004</v>
      </c>
      <c r="D165" s="53">
        <f t="shared" si="4"/>
        <v>-7.8449835356272067E-4</v>
      </c>
      <c r="E165" s="53">
        <f t="shared" si="5"/>
        <v>1.6278448102144264E-4</v>
      </c>
    </row>
    <row r="166" spans="1:5">
      <c r="A166" s="48">
        <v>45873</v>
      </c>
      <c r="B166" s="52">
        <v>3426.6826999999998</v>
      </c>
      <c r="C166" s="50">
        <v>6.3129999999999997</v>
      </c>
      <c r="D166" s="53">
        <f t="shared" si="4"/>
        <v>-9.1454437488627076E-3</v>
      </c>
      <c r="E166" s="53">
        <f t="shared" si="5"/>
        <v>4.7587946906069449E-4</v>
      </c>
    </row>
    <row r="167" spans="1:5">
      <c r="A167" s="48">
        <v>45874</v>
      </c>
      <c r="B167" s="49">
        <v>3427.2161000000001</v>
      </c>
      <c r="C167" s="50">
        <v>6.3239999999999998</v>
      </c>
      <c r="D167" s="53">
        <f t="shared" si="4"/>
        <v>1.7409199617370596E-3</v>
      </c>
      <c r="E167" s="53">
        <f t="shared" si="5"/>
        <v>1.5564863638690884E-4</v>
      </c>
    </row>
    <row r="168" spans="1:5">
      <c r="A168" s="48">
        <v>45875</v>
      </c>
      <c r="B168" s="52">
        <v>3427.6698999999999</v>
      </c>
      <c r="C168" s="50">
        <v>6.407</v>
      </c>
      <c r="D168" s="53">
        <f t="shared" si="4"/>
        <v>1.3039223309658982E-2</v>
      </c>
      <c r="E168" s="53">
        <f t="shared" si="5"/>
        <v>1.3240191030536614E-4</v>
      </c>
    </row>
    <row r="169" spans="1:5">
      <c r="A169" s="48">
        <v>45876</v>
      </c>
      <c r="B169" s="49">
        <v>3428.223</v>
      </c>
      <c r="C169" s="50">
        <v>6.39</v>
      </c>
      <c r="D169" s="53">
        <f t="shared" si="4"/>
        <v>-2.6568742674411864E-3</v>
      </c>
      <c r="E169" s="53">
        <f t="shared" si="5"/>
        <v>1.6135024548000437E-4</v>
      </c>
    </row>
    <row r="170" spans="1:5">
      <c r="A170" s="48">
        <v>45877</v>
      </c>
      <c r="B170" s="52">
        <v>3428.6747</v>
      </c>
      <c r="C170" s="50">
        <v>6.399</v>
      </c>
      <c r="D170" s="53">
        <f t="shared" si="4"/>
        <v>1.4074597678797698E-3</v>
      </c>
      <c r="E170" s="53">
        <f t="shared" si="5"/>
        <v>1.3175054388042483E-4</v>
      </c>
    </row>
    <row r="171" spans="1:5">
      <c r="A171" s="48">
        <v>45880</v>
      </c>
      <c r="B171" s="52">
        <v>3430.2465000000002</v>
      </c>
      <c r="C171" s="50">
        <v>6.4279999999999999</v>
      </c>
      <c r="D171" s="53">
        <f t="shared" si="4"/>
        <v>4.5217197179429069E-3</v>
      </c>
      <c r="E171" s="53">
        <f t="shared" si="5"/>
        <v>4.5832281248970843E-4</v>
      </c>
    </row>
    <row r="172" spans="1:5">
      <c r="A172" s="48">
        <v>45881</v>
      </c>
      <c r="B172" s="49">
        <v>3430.7691</v>
      </c>
      <c r="C172" s="50">
        <v>6.4829999999999997</v>
      </c>
      <c r="D172" s="53">
        <f t="shared" si="4"/>
        <v>8.5199183175924346E-3</v>
      </c>
      <c r="E172" s="53">
        <f t="shared" si="5"/>
        <v>1.5233896305676434E-4</v>
      </c>
    </row>
    <row r="173" spans="1:5">
      <c r="A173" s="48">
        <v>45882</v>
      </c>
      <c r="B173" s="52">
        <v>3431.36</v>
      </c>
      <c r="C173" s="50">
        <v>6.4809999999999999</v>
      </c>
      <c r="D173" s="53">
        <f t="shared" si="4"/>
        <v>-3.0854674727968077E-4</v>
      </c>
      <c r="E173" s="53">
        <f t="shared" si="5"/>
        <v>1.7222060175472868E-4</v>
      </c>
    </row>
    <row r="174" spans="1:5">
      <c r="A174" s="48">
        <v>45883</v>
      </c>
      <c r="B174" s="49">
        <v>3431.9431</v>
      </c>
      <c r="C174" s="50">
        <v>6.4039999999999999</v>
      </c>
      <c r="D174" s="53">
        <f t="shared" si="4"/>
        <v>-1.1952024311110658E-2</v>
      </c>
      <c r="E174" s="53">
        <f t="shared" si="5"/>
        <v>1.699181845555087E-4</v>
      </c>
    </row>
    <row r="175" spans="1:5">
      <c r="A175" s="48">
        <v>45887</v>
      </c>
      <c r="B175" s="52">
        <v>3434.114</v>
      </c>
      <c r="C175" s="50">
        <v>6.484</v>
      </c>
      <c r="D175" s="53">
        <f t="shared" si="4"/>
        <v>1.2414808738961501E-2</v>
      </c>
      <c r="E175" s="53">
        <f t="shared" si="5"/>
        <v>6.3235712745252646E-4</v>
      </c>
    </row>
    <row r="176" spans="1:5">
      <c r="A176" s="48">
        <v>45888</v>
      </c>
      <c r="B176" s="49">
        <v>3434.6606000000002</v>
      </c>
      <c r="C176" s="50">
        <v>6.5119999999999996</v>
      </c>
      <c r="D176" s="53">
        <f t="shared" si="4"/>
        <v>4.3090248268093639E-3</v>
      </c>
      <c r="E176" s="53">
        <f t="shared" si="5"/>
        <v>1.5915502632859484E-4</v>
      </c>
    </row>
    <row r="177" spans="1:5">
      <c r="A177" s="48">
        <v>45889</v>
      </c>
      <c r="B177" s="52">
        <v>3435.2330000000002</v>
      </c>
      <c r="C177" s="50">
        <v>6.4969999999999999</v>
      </c>
      <c r="D177" s="53">
        <f t="shared" si="4"/>
        <v>-2.3060968018451767E-3</v>
      </c>
      <c r="E177" s="53">
        <f t="shared" si="5"/>
        <v>1.6664013583115282E-4</v>
      </c>
    </row>
    <row r="178" spans="1:5">
      <c r="A178" s="48">
        <v>45890</v>
      </c>
      <c r="B178" s="49">
        <v>3435.7716999999998</v>
      </c>
      <c r="C178" s="50">
        <v>6.5250000000000004</v>
      </c>
      <c r="D178" s="53">
        <f t="shared" si="4"/>
        <v>4.3004213103631844E-3</v>
      </c>
      <c r="E178" s="53">
        <f t="shared" si="5"/>
        <v>1.5680385172886616E-4</v>
      </c>
    </row>
    <row r="179" spans="1:5">
      <c r="A179" s="48">
        <v>45891</v>
      </c>
      <c r="B179" s="52">
        <v>3436.3009999999999</v>
      </c>
      <c r="C179" s="50">
        <v>6.5490000000000004</v>
      </c>
      <c r="D179" s="53">
        <f t="shared" si="4"/>
        <v>3.671413027159405E-3</v>
      </c>
      <c r="E179" s="53">
        <f t="shared" si="5"/>
        <v>1.5404377228045793E-4</v>
      </c>
    </row>
    <row r="180" spans="1:5">
      <c r="A180" s="48">
        <v>45894</v>
      </c>
      <c r="B180" s="52">
        <v>3437.9265999999998</v>
      </c>
      <c r="C180" s="50">
        <v>6.5919999999999996</v>
      </c>
      <c r="D180" s="53">
        <f t="shared" si="4"/>
        <v>6.5444263712539181E-3</v>
      </c>
      <c r="E180" s="53">
        <f t="shared" si="5"/>
        <v>4.7295496305703227E-4</v>
      </c>
    </row>
    <row r="181" spans="1:5">
      <c r="A181" s="48">
        <v>45895</v>
      </c>
      <c r="B181" s="49">
        <v>3438.3755000000001</v>
      </c>
      <c r="C181" s="50">
        <v>6.617</v>
      </c>
      <c r="D181" s="53">
        <f t="shared" si="4"/>
        <v>3.785302422751843E-3</v>
      </c>
      <c r="E181" s="53">
        <f t="shared" si="5"/>
        <v>1.3056436267921609E-4</v>
      </c>
    </row>
    <row r="182" spans="1:5">
      <c r="A182" s="48">
        <v>45896</v>
      </c>
      <c r="B182" s="52">
        <v>3438.9186</v>
      </c>
      <c r="C182" s="50">
        <v>6.6</v>
      </c>
      <c r="D182" s="53">
        <f t="shared" si="4"/>
        <v>-2.5724459975426457E-3</v>
      </c>
      <c r="E182" s="53">
        <f t="shared" si="5"/>
        <v>1.5794002502496563E-4</v>
      </c>
    </row>
    <row r="183" spans="1:5">
      <c r="A183" s="48">
        <v>45897</v>
      </c>
      <c r="B183" s="49">
        <v>3439.3449000000001</v>
      </c>
      <c r="C183" s="50">
        <v>6.5380000000000003</v>
      </c>
      <c r="D183" s="53">
        <f t="shared" si="4"/>
        <v>-9.4383407303608793E-3</v>
      </c>
      <c r="E183" s="53">
        <f t="shared" si="5"/>
        <v>1.2395570496713209E-4</v>
      </c>
    </row>
    <row r="184" spans="1:5">
      <c r="A184" s="48">
        <v>45898</v>
      </c>
      <c r="B184" s="52">
        <v>3439.8897000000002</v>
      </c>
      <c r="C184" s="50">
        <v>6.5880000000000001</v>
      </c>
      <c r="D184" s="53">
        <f t="shared" si="4"/>
        <v>7.6185040133749157E-3</v>
      </c>
      <c r="E184" s="53">
        <f t="shared" si="5"/>
        <v>1.5838971421018851E-4</v>
      </c>
    </row>
    <row r="185" spans="1:5">
      <c r="A185" s="48">
        <v>45901</v>
      </c>
      <c r="B185" s="49">
        <v>3441.4924999999998</v>
      </c>
      <c r="C185" s="50">
        <v>6.585</v>
      </c>
      <c r="D185" s="53">
        <f t="shared" si="4"/>
        <v>-4.5547712014950778E-4</v>
      </c>
      <c r="E185" s="53">
        <f t="shared" si="5"/>
        <v>4.6583665385829017E-4</v>
      </c>
    </row>
    <row r="186" spans="1:5">
      <c r="A186" s="48">
        <v>45902</v>
      </c>
      <c r="B186" s="52">
        <v>3441.951</v>
      </c>
      <c r="C186" s="50">
        <v>6.569</v>
      </c>
      <c r="D186" s="53">
        <f t="shared" si="4"/>
        <v>-2.432721284908455E-3</v>
      </c>
      <c r="E186" s="53">
        <f t="shared" si="5"/>
        <v>1.3321820704367078E-4</v>
      </c>
    </row>
    <row r="187" spans="1:5">
      <c r="A187" s="48">
        <v>45903</v>
      </c>
      <c r="B187" s="49">
        <v>3442.48</v>
      </c>
      <c r="C187" s="50">
        <v>6.5410000000000004</v>
      </c>
      <c r="D187" s="53">
        <f t="shared" si="4"/>
        <v>-4.271554931260131E-3</v>
      </c>
      <c r="E187" s="53">
        <f t="shared" si="5"/>
        <v>1.5368009383532537E-4</v>
      </c>
    </row>
    <row r="188" spans="1:5">
      <c r="A188" s="48">
        <v>45904</v>
      </c>
      <c r="B188" s="52">
        <v>3443.0054</v>
      </c>
      <c r="C188" s="50">
        <v>6.4939999999999998</v>
      </c>
      <c r="D188" s="53">
        <f t="shared" si="4"/>
        <v>-7.2113852984215937E-3</v>
      </c>
      <c r="E188" s="53">
        <f t="shared" si="5"/>
        <v>1.5261088231179192E-4</v>
      </c>
    </row>
    <row r="189" spans="1:5">
      <c r="A189" s="48">
        <v>45905</v>
      </c>
      <c r="B189" s="49">
        <v>3443.5585999999998</v>
      </c>
      <c r="C189" s="50">
        <v>6.4610000000000003</v>
      </c>
      <c r="D189" s="53">
        <f t="shared" si="4"/>
        <v>-5.094569104625679E-3</v>
      </c>
      <c r="E189" s="53">
        <f t="shared" si="5"/>
        <v>1.6066067234398531E-4</v>
      </c>
    </row>
    <row r="190" spans="1:5">
      <c r="A190" s="48">
        <v>45908</v>
      </c>
      <c r="B190" s="49">
        <v>3445.1867000000002</v>
      </c>
      <c r="C190" s="50">
        <v>6.4630000000000001</v>
      </c>
      <c r="D190" s="53">
        <f t="shared" si="4"/>
        <v>3.0950170472999545E-4</v>
      </c>
      <c r="E190" s="53">
        <f t="shared" si="5"/>
        <v>4.7268405476229042E-4</v>
      </c>
    </row>
    <row r="191" spans="1:5">
      <c r="A191" s="48">
        <v>45909</v>
      </c>
      <c r="B191" s="52">
        <v>3445.5931</v>
      </c>
      <c r="C191" s="50">
        <v>6.4859999999999998</v>
      </c>
      <c r="D191" s="53">
        <f t="shared" si="4"/>
        <v>3.5524016043677006E-3</v>
      </c>
      <c r="E191" s="53">
        <f t="shared" si="5"/>
        <v>1.1795471986239794E-4</v>
      </c>
    </row>
    <row r="192" spans="1:5">
      <c r="A192" s="48">
        <v>45910</v>
      </c>
      <c r="B192" s="49">
        <v>3446.0666999999999</v>
      </c>
      <c r="C192" s="50">
        <v>6.4829999999999997</v>
      </c>
      <c r="D192" s="53">
        <f t="shared" si="4"/>
        <v>-4.6264169226767842E-4</v>
      </c>
      <c r="E192" s="53">
        <f t="shared" si="5"/>
        <v>1.3744149145174928E-4</v>
      </c>
    </row>
    <row r="193" spans="1:5">
      <c r="A193" s="48">
        <v>45911</v>
      </c>
      <c r="B193" s="52">
        <v>3446.607</v>
      </c>
      <c r="C193" s="50">
        <v>6.4720000000000004</v>
      </c>
      <c r="D193" s="53">
        <f t="shared" si="4"/>
        <v>-1.6981864366679724E-3</v>
      </c>
      <c r="E193" s="53">
        <f t="shared" si="5"/>
        <v>1.5677515710826482E-4</v>
      </c>
    </row>
    <row r="194" spans="1:5">
      <c r="A194" s="48">
        <v>45912</v>
      </c>
      <c r="B194" s="49">
        <v>3447.0888</v>
      </c>
      <c r="C194" s="50">
        <v>6.4829999999999997</v>
      </c>
      <c r="D194" s="53">
        <f t="shared" si="4"/>
        <v>1.6981864366679756E-3</v>
      </c>
      <c r="E194" s="53">
        <f t="shared" si="5"/>
        <v>1.3977988433551739E-4</v>
      </c>
    </row>
    <row r="195" spans="1:5">
      <c r="A195" s="48">
        <v>45915</v>
      </c>
      <c r="B195" s="49">
        <v>3448.8058999999998</v>
      </c>
      <c r="C195" s="50">
        <v>6.492</v>
      </c>
      <c r="D195" s="53">
        <f t="shared" si="4"/>
        <v>1.3872834594863056E-3</v>
      </c>
      <c r="E195" s="53">
        <f t="shared" si="5"/>
        <v>4.9800645461957099E-4</v>
      </c>
    </row>
    <row r="196" spans="1:5">
      <c r="A196" s="48">
        <v>45916</v>
      </c>
      <c r="B196" s="52">
        <v>3449.5407</v>
      </c>
      <c r="C196" s="50">
        <v>6.49</v>
      </c>
      <c r="D196" s="53">
        <f t="shared" ref="D196:D249" si="6">LN(C196/C195)</f>
        <v>-3.0811893634611996E-4</v>
      </c>
      <c r="E196" s="53">
        <f t="shared" ref="E196:E249" si="7">LN(B196/B195)</f>
        <v>2.1303655655094817E-4</v>
      </c>
    </row>
    <row r="197" spans="1:5">
      <c r="A197" s="48">
        <v>45917</v>
      </c>
      <c r="B197" s="49">
        <v>3450.1963000000001</v>
      </c>
      <c r="C197" s="50">
        <v>6.4660000000000002</v>
      </c>
      <c r="D197" s="53">
        <f t="shared" si="6"/>
        <v>-3.7048514127573291E-3</v>
      </c>
      <c r="E197" s="53">
        <f t="shared" si="7"/>
        <v>1.900362294891485E-4</v>
      </c>
    </row>
    <row r="198" spans="1:5">
      <c r="A198" s="48">
        <v>45918</v>
      </c>
      <c r="B198" s="52">
        <v>3450.8222999999998</v>
      </c>
      <c r="C198" s="50">
        <v>6.5090000000000003</v>
      </c>
      <c r="D198" s="53">
        <f t="shared" si="6"/>
        <v>6.6281552870088908E-3</v>
      </c>
      <c r="E198" s="53">
        <f t="shared" si="7"/>
        <v>1.814224936930546E-4</v>
      </c>
    </row>
    <row r="199" spans="1:5">
      <c r="A199" s="48">
        <v>45919</v>
      </c>
      <c r="B199" s="49">
        <v>3451.3802000000001</v>
      </c>
      <c r="C199" s="50">
        <v>6.4889999999999999</v>
      </c>
      <c r="D199" s="53">
        <f t="shared" si="6"/>
        <v>-3.0773989512189125E-3</v>
      </c>
      <c r="E199" s="53">
        <f t="shared" si="7"/>
        <v>1.6165854340409363E-4</v>
      </c>
    </row>
    <row r="200" spans="1:5">
      <c r="A200" s="48">
        <v>45922</v>
      </c>
      <c r="B200" s="49">
        <v>3452.9575</v>
      </c>
      <c r="C200" s="50">
        <v>6.4809999999999999</v>
      </c>
      <c r="D200" s="53">
        <f t="shared" si="6"/>
        <v>-1.233616193452479E-3</v>
      </c>
      <c r="E200" s="53">
        <f t="shared" si="7"/>
        <v>4.5690118182936743E-4</v>
      </c>
    </row>
    <row r="201" spans="1:5">
      <c r="A201" s="48">
        <v>45923</v>
      </c>
      <c r="B201" s="52">
        <v>3453.4560999999999</v>
      </c>
      <c r="C201" s="50">
        <v>6.4669999999999996</v>
      </c>
      <c r="D201" s="53">
        <f t="shared" si="6"/>
        <v>-2.1624969811232107E-3</v>
      </c>
      <c r="E201" s="53">
        <f t="shared" si="7"/>
        <v>1.443875301259085E-4</v>
      </c>
    </row>
    <row r="202" spans="1:5">
      <c r="A202" s="48">
        <v>45924</v>
      </c>
      <c r="B202" s="49">
        <v>3453.9477000000002</v>
      </c>
      <c r="C202" s="50">
        <v>6.4829999999999997</v>
      </c>
      <c r="D202" s="53">
        <f t="shared" si="6"/>
        <v>2.4710437284028186E-3</v>
      </c>
      <c r="E202" s="53">
        <f t="shared" si="7"/>
        <v>1.4234002095842846E-4</v>
      </c>
    </row>
    <row r="203" spans="1:5">
      <c r="A203" s="48">
        <v>45925</v>
      </c>
      <c r="B203" s="52">
        <v>3454.12</v>
      </c>
      <c r="C203" s="50">
        <v>6.492</v>
      </c>
      <c r="D203" s="53">
        <f t="shared" si="6"/>
        <v>1.3872834594863056E-3</v>
      </c>
      <c r="E203" s="53">
        <f t="shared" si="7"/>
        <v>4.9883703379218398E-5</v>
      </c>
    </row>
    <row r="204" spans="1:5">
      <c r="A204" s="48">
        <v>45926</v>
      </c>
      <c r="B204" s="49">
        <v>3454.5682000000002</v>
      </c>
      <c r="C204" s="50">
        <v>6.5170000000000003</v>
      </c>
      <c r="D204" s="53">
        <f t="shared" si="6"/>
        <v>3.8434976978985735E-3</v>
      </c>
      <c r="E204" s="53">
        <f t="shared" si="7"/>
        <v>1.2974966814376451E-4</v>
      </c>
    </row>
    <row r="205" spans="1:5">
      <c r="A205" s="48">
        <v>45929</v>
      </c>
      <c r="B205" s="49">
        <v>3456.2411000000002</v>
      </c>
      <c r="C205" s="50">
        <v>6.5629999999999997</v>
      </c>
      <c r="D205" s="53">
        <f t="shared" si="6"/>
        <v>7.0336681413423682E-3</v>
      </c>
      <c r="E205" s="53">
        <f t="shared" si="7"/>
        <v>4.8414012311885E-4</v>
      </c>
    </row>
    <row r="206" spans="1:5">
      <c r="A206" s="48">
        <v>45930</v>
      </c>
      <c r="B206" s="52">
        <v>3457.7201</v>
      </c>
      <c r="C206" s="50">
        <v>6.5709999999999997</v>
      </c>
      <c r="D206" s="53">
        <f t="shared" si="6"/>
        <v>1.2182124241451411E-3</v>
      </c>
      <c r="E206" s="53">
        <f t="shared" si="7"/>
        <v>4.2783000360458411E-4</v>
      </c>
    </row>
    <row r="207" spans="1:5">
      <c r="A207" s="48">
        <v>45931</v>
      </c>
      <c r="B207" s="49">
        <v>3458.4537</v>
      </c>
      <c r="C207" s="50">
        <v>6.5229999999999997</v>
      </c>
      <c r="D207" s="53">
        <f t="shared" si="6"/>
        <v>-7.3316351017718327E-3</v>
      </c>
      <c r="E207" s="53">
        <f t="shared" si="7"/>
        <v>2.1214041866652811E-4</v>
      </c>
    </row>
    <row r="208" spans="1:5">
      <c r="A208" s="48">
        <v>45932</v>
      </c>
      <c r="B208" s="52">
        <v>3459.0030999999999</v>
      </c>
      <c r="C208" s="50">
        <v>6.5190000000000001</v>
      </c>
      <c r="D208" s="53">
        <f t="shared" si="6"/>
        <v>-6.1340287155659586E-4</v>
      </c>
      <c r="E208" s="53">
        <f t="shared" si="7"/>
        <v>1.5884450515248389E-4</v>
      </c>
    </row>
    <row r="209" spans="1:5">
      <c r="A209" s="48">
        <v>45933</v>
      </c>
      <c r="B209" s="49">
        <v>3459.6858000000002</v>
      </c>
      <c r="C209" s="50">
        <v>6.5140000000000002</v>
      </c>
      <c r="D209" s="53">
        <f t="shared" si="6"/>
        <v>-7.6728308836050186E-4</v>
      </c>
      <c r="E209" s="53">
        <f t="shared" si="7"/>
        <v>1.9734953026029063E-4</v>
      </c>
    </row>
    <row r="210" spans="1:5">
      <c r="A210" s="48">
        <v>45936</v>
      </c>
      <c r="B210" s="49">
        <v>3461.4146000000001</v>
      </c>
      <c r="C210" s="50">
        <v>6.5190000000000001</v>
      </c>
      <c r="D210" s="53">
        <f t="shared" si="6"/>
        <v>7.6728308836043638E-4</v>
      </c>
      <c r="E210" s="53">
        <f t="shared" si="7"/>
        <v>4.9957374869327915E-4</v>
      </c>
    </row>
    <row r="211" spans="1:5">
      <c r="A211" s="48">
        <v>45937</v>
      </c>
      <c r="B211" s="52">
        <v>3461.9614999999999</v>
      </c>
      <c r="C211" s="50">
        <v>6.51</v>
      </c>
      <c r="D211" s="53">
        <f t="shared" si="6"/>
        <v>-1.381533721924465E-3</v>
      </c>
      <c r="E211" s="53">
        <f t="shared" si="7"/>
        <v>1.5798650636272458E-4</v>
      </c>
    </row>
    <row r="212" spans="1:5">
      <c r="A212" s="48">
        <v>45938</v>
      </c>
      <c r="B212" s="49">
        <v>3462.4315000000001</v>
      </c>
      <c r="C212" s="50">
        <v>6.5039999999999996</v>
      </c>
      <c r="D212" s="53">
        <f t="shared" si="6"/>
        <v>-9.2208397496842498E-4</v>
      </c>
      <c r="E212" s="53">
        <f t="shared" si="7"/>
        <v>1.3575197153661465E-4</v>
      </c>
    </row>
    <row r="213" spans="1:5">
      <c r="A213" s="48">
        <v>45939</v>
      </c>
      <c r="B213" s="52">
        <v>3462.8600999999999</v>
      </c>
      <c r="C213" s="50">
        <v>6.5209999999999999</v>
      </c>
      <c r="D213" s="53">
        <f t="shared" si="6"/>
        <v>2.6103661655557525E-3</v>
      </c>
      <c r="E213" s="53">
        <f t="shared" si="7"/>
        <v>1.2377818157049354E-4</v>
      </c>
    </row>
    <row r="214" spans="1:5">
      <c r="A214" s="48">
        <v>45940</v>
      </c>
      <c r="B214" s="49">
        <v>3463.3434999999999</v>
      </c>
      <c r="C214" s="50">
        <v>6.5309999999999997</v>
      </c>
      <c r="D214" s="53">
        <f t="shared" si="6"/>
        <v>1.5323325094547134E-3</v>
      </c>
      <c r="E214" s="53">
        <f t="shared" si="7"/>
        <v>1.3958584780405131E-4</v>
      </c>
    </row>
    <row r="215" spans="1:5">
      <c r="A215" s="48">
        <v>45943</v>
      </c>
      <c r="B215" s="49">
        <v>3464.9602</v>
      </c>
      <c r="C215" s="50">
        <v>6.5179999999999998</v>
      </c>
      <c r="D215" s="53">
        <f t="shared" si="6"/>
        <v>-1.9924905051503174E-3</v>
      </c>
      <c r="E215" s="53">
        <f t="shared" si="7"/>
        <v>4.6669433077630438E-4</v>
      </c>
    </row>
    <row r="216" spans="1:5">
      <c r="A216" s="48">
        <v>45944</v>
      </c>
      <c r="B216" s="52">
        <v>3465.4888000000001</v>
      </c>
      <c r="C216" s="50">
        <v>6.5069999999999997</v>
      </c>
      <c r="D216" s="53">
        <f t="shared" si="6"/>
        <v>-1.6890599025228172E-3</v>
      </c>
      <c r="E216" s="53">
        <f t="shared" si="7"/>
        <v>1.5254422939259228E-4</v>
      </c>
    </row>
    <row r="217" spans="1:5">
      <c r="A217" s="48">
        <v>45945</v>
      </c>
      <c r="B217" s="49">
        <v>3466.0499</v>
      </c>
      <c r="C217" s="50">
        <v>6.484</v>
      </c>
      <c r="D217" s="53">
        <f t="shared" si="6"/>
        <v>-3.5409166394172612E-3</v>
      </c>
      <c r="E217" s="53">
        <f t="shared" si="7"/>
        <v>1.6189767539656855E-4</v>
      </c>
    </row>
    <row r="218" spans="1:5">
      <c r="A218" s="48">
        <v>45946</v>
      </c>
      <c r="B218" s="52">
        <v>3466.5444000000002</v>
      </c>
      <c r="C218" s="50">
        <v>6.5030000000000001</v>
      </c>
      <c r="D218" s="53">
        <f t="shared" si="6"/>
        <v>2.9260050135851319E-3</v>
      </c>
      <c r="E218" s="53">
        <f t="shared" si="7"/>
        <v>1.4265943727276637E-4</v>
      </c>
    </row>
    <row r="219" spans="1:5">
      <c r="A219" s="48">
        <v>45947</v>
      </c>
      <c r="B219" s="49">
        <v>3467.0104000000001</v>
      </c>
      <c r="C219" s="50">
        <v>6.5060000000000002</v>
      </c>
      <c r="D219" s="53">
        <f t="shared" si="6"/>
        <v>4.6121916414500858E-4</v>
      </c>
      <c r="E219" s="53">
        <f t="shared" si="7"/>
        <v>1.3441878347933287E-4</v>
      </c>
    </row>
    <row r="220" spans="1:5">
      <c r="A220" s="48">
        <v>45950</v>
      </c>
      <c r="B220" s="49">
        <v>3468.6725000000001</v>
      </c>
      <c r="C220" s="50">
        <v>6.508</v>
      </c>
      <c r="D220" s="53">
        <f t="shared" si="6"/>
        <v>3.0736130563164068E-4</v>
      </c>
      <c r="E220" s="53">
        <f t="shared" si="7"/>
        <v>4.7928951071784913E-4</v>
      </c>
    </row>
    <row r="221" spans="1:5">
      <c r="A221" s="48">
        <v>45951</v>
      </c>
      <c r="B221" s="52">
        <v>3469.2208000000001</v>
      </c>
      <c r="C221" s="50">
        <v>6.5069999999999997</v>
      </c>
      <c r="D221" s="53">
        <f t="shared" si="6"/>
        <v>-1.5366884394440238E-4</v>
      </c>
      <c r="E221" s="53">
        <f t="shared" si="7"/>
        <v>1.580595081050586E-4</v>
      </c>
    </row>
    <row r="222" spans="1:5">
      <c r="A222" s="48">
        <v>45952</v>
      </c>
      <c r="B222" s="49">
        <v>3469.7694000000001</v>
      </c>
      <c r="C222" s="50">
        <v>6.508</v>
      </c>
      <c r="D222" s="53">
        <f t="shared" si="6"/>
        <v>1.5366884394442119E-4</v>
      </c>
      <c r="E222" s="53">
        <f t="shared" si="7"/>
        <v>1.581209903258673E-4</v>
      </c>
    </row>
    <row r="223" spans="1:5">
      <c r="A223" s="48">
        <v>45953</v>
      </c>
      <c r="B223" s="52">
        <v>3470.3622999999998</v>
      </c>
      <c r="C223" s="50">
        <v>6.5389999999999997</v>
      </c>
      <c r="D223" s="53">
        <f t="shared" si="6"/>
        <v>4.7520592223475539E-3</v>
      </c>
      <c r="E223" s="53">
        <f t="shared" si="7"/>
        <v>1.7086131130394073E-4</v>
      </c>
    </row>
    <row r="224" spans="1:5">
      <c r="A224" s="48">
        <v>45954</v>
      </c>
      <c r="B224" s="49">
        <v>3470.8822</v>
      </c>
      <c r="C224" s="50">
        <v>6.5330000000000004</v>
      </c>
      <c r="D224" s="53">
        <f t="shared" si="6"/>
        <v>-9.1799272052555032E-4</v>
      </c>
      <c r="E224" s="53">
        <f t="shared" si="7"/>
        <v>1.4980022702630586E-4</v>
      </c>
    </row>
    <row r="225" spans="1:5">
      <c r="A225" s="48">
        <v>45957</v>
      </c>
      <c r="B225" s="49">
        <v>3472.5128</v>
      </c>
      <c r="C225" s="50">
        <v>6.5419999999999998</v>
      </c>
      <c r="D225" s="53">
        <f t="shared" si="6"/>
        <v>1.3766732575787443E-3</v>
      </c>
      <c r="E225" s="53">
        <f t="shared" si="7"/>
        <v>4.696837872469801E-4</v>
      </c>
    </row>
    <row r="226" spans="1:5">
      <c r="A226" s="48">
        <v>45958</v>
      </c>
      <c r="B226" s="52">
        <v>3473.0369999999998</v>
      </c>
      <c r="C226" s="50">
        <v>6.5330000000000004</v>
      </c>
      <c r="D226" s="53">
        <f t="shared" si="6"/>
        <v>-1.3766732575787987E-3</v>
      </c>
      <c r="E226" s="53">
        <f t="shared" si="7"/>
        <v>1.5094557409848841E-4</v>
      </c>
    </row>
    <row r="227" spans="1:5">
      <c r="A227" s="48">
        <v>45959</v>
      </c>
      <c r="B227" s="49">
        <v>3473.5367000000001</v>
      </c>
      <c r="C227" s="50">
        <v>6.5369999999999999</v>
      </c>
      <c r="D227" s="53">
        <f t="shared" si="6"/>
        <v>6.1208877197911507E-4</v>
      </c>
      <c r="E227" s="53">
        <f t="shared" si="7"/>
        <v>1.4386948802177471E-4</v>
      </c>
    </row>
    <row r="228" spans="1:5">
      <c r="A228" s="48">
        <v>45960</v>
      </c>
      <c r="B228" s="52">
        <v>3474.0533999999998</v>
      </c>
      <c r="C228" s="50">
        <v>6.5730000000000004</v>
      </c>
      <c r="D228" s="53">
        <f t="shared" si="6"/>
        <v>5.4920046508467203E-3</v>
      </c>
      <c r="E228" s="53">
        <f t="shared" si="7"/>
        <v>1.487422238545691E-4</v>
      </c>
    </row>
    <row r="229" spans="1:5">
      <c r="A229" s="48">
        <v>45961</v>
      </c>
      <c r="B229" s="49">
        <v>3474.6550000000002</v>
      </c>
      <c r="C229" s="50">
        <v>6.5289999999999999</v>
      </c>
      <c r="D229" s="53">
        <f t="shared" si="6"/>
        <v>-6.716557076942832E-3</v>
      </c>
      <c r="E229" s="53">
        <f t="shared" si="7"/>
        <v>1.7315448191885336E-4</v>
      </c>
    </row>
    <row r="230" spans="1:5">
      <c r="A230" s="48">
        <v>45964</v>
      </c>
      <c r="B230" s="49">
        <v>3476.4493000000002</v>
      </c>
      <c r="C230" s="50">
        <v>6.5279999999999996</v>
      </c>
      <c r="D230" s="53">
        <f t="shared" si="6"/>
        <v>-1.5317454269054206E-4</v>
      </c>
      <c r="E230" s="53">
        <f t="shared" si="7"/>
        <v>5.1626330505583345E-4</v>
      </c>
    </row>
    <row r="231" spans="1:5">
      <c r="A231" s="48">
        <v>45965</v>
      </c>
      <c r="B231" s="52">
        <v>3477.0142999999998</v>
      </c>
      <c r="C231" s="50">
        <v>6.53</v>
      </c>
      <c r="D231" s="53">
        <f t="shared" si="6"/>
        <v>3.0632562653397328E-4</v>
      </c>
      <c r="E231" s="53">
        <f t="shared" si="7"/>
        <v>1.6250894050651526E-4</v>
      </c>
    </row>
    <row r="232" spans="1:5">
      <c r="A232" s="48">
        <v>45966</v>
      </c>
      <c r="B232" s="49">
        <v>3477.5630000000001</v>
      </c>
      <c r="C232" s="50">
        <v>6.5330000000000004</v>
      </c>
      <c r="D232" s="53">
        <f t="shared" si="6"/>
        <v>4.593125702735232E-4</v>
      </c>
      <c r="E232" s="53">
        <f t="shared" si="7"/>
        <v>1.5779535620042993E-4</v>
      </c>
    </row>
    <row r="233" spans="1:5">
      <c r="A233" s="48">
        <v>45967</v>
      </c>
      <c r="B233" s="52">
        <v>3478.0704999999998</v>
      </c>
      <c r="C233" s="50">
        <v>6.5140000000000002</v>
      </c>
      <c r="D233" s="53">
        <f t="shared" si="6"/>
        <v>-2.9125490045715874E-3</v>
      </c>
      <c r="E233" s="53">
        <f t="shared" si="7"/>
        <v>1.4592488258627543E-4</v>
      </c>
    </row>
    <row r="234" spans="1:5">
      <c r="A234" s="48">
        <v>45968</v>
      </c>
      <c r="B234" s="49">
        <v>3478.6394</v>
      </c>
      <c r="C234" s="50">
        <v>6.5209999999999999</v>
      </c>
      <c r="D234" s="53">
        <f t="shared" si="6"/>
        <v>1.0740315570234385E-3</v>
      </c>
      <c r="E234" s="53">
        <f t="shared" si="7"/>
        <v>1.6355432652681565E-4</v>
      </c>
    </row>
    <row r="235" spans="1:5">
      <c r="A235" s="48">
        <v>45971</v>
      </c>
      <c r="B235" s="49">
        <v>3480.3015</v>
      </c>
      <c r="C235" s="50">
        <v>6.49</v>
      </c>
      <c r="D235" s="53">
        <f t="shared" si="6"/>
        <v>-4.7652076950665742E-3</v>
      </c>
      <c r="E235" s="53">
        <f t="shared" si="7"/>
        <v>4.776876411196318E-4</v>
      </c>
    </row>
    <row r="236" spans="1:5">
      <c r="A236" s="48">
        <v>45972</v>
      </c>
      <c r="B236" s="52">
        <v>3480.8489</v>
      </c>
      <c r="C236" s="50">
        <v>6.4989999999999997</v>
      </c>
      <c r="D236" s="53">
        <f t="shared" si="6"/>
        <v>1.3857881962131913E-3</v>
      </c>
      <c r="E236" s="53">
        <f t="shared" si="7"/>
        <v>1.5727285568444826E-4</v>
      </c>
    </row>
    <row r="237" spans="1:5">
      <c r="A237" s="48">
        <v>45973</v>
      </c>
      <c r="B237" s="49">
        <v>3481.4629</v>
      </c>
      <c r="C237" s="50">
        <v>6.4829999999999997</v>
      </c>
      <c r="D237" s="53">
        <f t="shared" si="6"/>
        <v>-2.4649527193532435E-3</v>
      </c>
      <c r="E237" s="53">
        <f t="shared" si="7"/>
        <v>1.7637819713610354E-4</v>
      </c>
    </row>
    <row r="238" spans="1:5">
      <c r="A238" s="48">
        <v>45974</v>
      </c>
      <c r="B238" s="52">
        <v>3482.0482000000002</v>
      </c>
      <c r="C238" s="50">
        <v>6.5110000000000001</v>
      </c>
      <c r="D238" s="53">
        <f t="shared" si="6"/>
        <v>4.3096880618664936E-3</v>
      </c>
      <c r="E238" s="53">
        <f t="shared" si="7"/>
        <v>1.681048519843537E-4</v>
      </c>
    </row>
    <row r="239" spans="1:5">
      <c r="A239" s="48">
        <v>45975</v>
      </c>
      <c r="B239" s="49">
        <v>3482.5938999999998</v>
      </c>
      <c r="C239" s="50">
        <v>6.5270000000000001</v>
      </c>
      <c r="D239" s="53">
        <f t="shared" si="6"/>
        <v>2.4543653983552598E-3</v>
      </c>
      <c r="E239" s="53">
        <f t="shared" si="7"/>
        <v>1.567058273149116E-4</v>
      </c>
    </row>
    <row r="240" spans="1:5">
      <c r="A240" s="48">
        <v>45978</v>
      </c>
      <c r="B240" s="49">
        <v>3484.2408</v>
      </c>
      <c r="C240" s="50">
        <v>6.5359999999999996</v>
      </c>
      <c r="D240" s="53">
        <f t="shared" si="6"/>
        <v>1.3779379046212027E-3</v>
      </c>
      <c r="E240" s="53">
        <f t="shared" si="7"/>
        <v>4.7278286383821742E-4</v>
      </c>
    </row>
    <row r="241" spans="1:5">
      <c r="A241" s="48">
        <v>45979</v>
      </c>
      <c r="B241" s="52">
        <v>3484.8267000000001</v>
      </c>
      <c r="C241" s="50">
        <v>6.5229999999999997</v>
      </c>
      <c r="D241" s="53">
        <f t="shared" si="6"/>
        <v>-1.9909647437428304E-3</v>
      </c>
      <c r="E241" s="53">
        <f t="shared" si="7"/>
        <v>1.6814301235587294E-4</v>
      </c>
    </row>
    <row r="242" spans="1:5">
      <c r="A242" s="48">
        <v>45980</v>
      </c>
      <c r="B242" s="49">
        <v>3485.4025000000001</v>
      </c>
      <c r="C242" s="50">
        <v>6.532</v>
      </c>
      <c r="D242" s="53">
        <f t="shared" si="6"/>
        <v>1.3787822942598513E-3</v>
      </c>
      <c r="E242" s="53">
        <f t="shared" si="7"/>
        <v>1.6521694905231927E-4</v>
      </c>
    </row>
    <row r="243" spans="1:5">
      <c r="A243" s="48">
        <v>45981</v>
      </c>
      <c r="B243" s="52">
        <v>3485.933</v>
      </c>
      <c r="C243" s="50">
        <v>6.5359999999999996</v>
      </c>
      <c r="D243" s="53">
        <f t="shared" si="6"/>
        <v>6.1218244948298345E-4</v>
      </c>
      <c r="E243" s="53">
        <f t="shared" si="7"/>
        <v>1.521946551055159E-4</v>
      </c>
    </row>
    <row r="244" spans="1:5">
      <c r="A244" s="48">
        <v>45982</v>
      </c>
      <c r="B244" s="49">
        <v>3486.4717999999998</v>
      </c>
      <c r="C244" s="50">
        <v>6.56</v>
      </c>
      <c r="D244" s="53">
        <f t="shared" si="6"/>
        <v>3.6652453982958738E-3</v>
      </c>
      <c r="E244" s="53">
        <f t="shared" si="7"/>
        <v>1.5455212843407253E-4</v>
      </c>
    </row>
    <row r="245" spans="1:5">
      <c r="A245" s="48">
        <v>45985</v>
      </c>
      <c r="B245" s="49">
        <v>3488.0805</v>
      </c>
      <c r="C245" s="50">
        <v>6.5250000000000004</v>
      </c>
      <c r="D245" s="53">
        <f t="shared" si="6"/>
        <v>-5.3496497472404871E-3</v>
      </c>
      <c r="E245" s="53">
        <f t="shared" si="7"/>
        <v>4.6130560337984632E-4</v>
      </c>
    </row>
    <row r="246" spans="1:5">
      <c r="A246" s="48">
        <v>45986</v>
      </c>
      <c r="B246" s="52">
        <v>3488.6786000000002</v>
      </c>
      <c r="C246" s="50">
        <v>6.4909999999999997</v>
      </c>
      <c r="D246" s="53">
        <f t="shared" si="6"/>
        <v>-5.224351157425664E-3</v>
      </c>
      <c r="E246" s="53">
        <f t="shared" si="7"/>
        <v>1.7145496723976788E-4</v>
      </c>
    </row>
    <row r="247" spans="1:5">
      <c r="A247" s="48">
        <v>45987</v>
      </c>
      <c r="B247" s="49">
        <v>3489.2384999999999</v>
      </c>
      <c r="C247" s="50">
        <v>6.4859999999999998</v>
      </c>
      <c r="D247" s="53">
        <f t="shared" si="6"/>
        <v>-7.7059416620526113E-4</v>
      </c>
      <c r="E247" s="53">
        <f t="shared" si="7"/>
        <v>1.6047768787660327E-4</v>
      </c>
    </row>
    <row r="248" spans="1:5">
      <c r="A248" s="48">
        <v>45988</v>
      </c>
      <c r="B248" s="52">
        <v>3489.7734999999998</v>
      </c>
      <c r="C248" s="50">
        <v>6.5129999999999999</v>
      </c>
      <c r="D248" s="53">
        <f t="shared" si="6"/>
        <v>4.1541716791382933E-3</v>
      </c>
      <c r="E248" s="53">
        <f t="shared" si="7"/>
        <v>1.5331683082019134E-4</v>
      </c>
    </row>
    <row r="249" spans="1:5">
      <c r="A249" s="48">
        <v>45989</v>
      </c>
      <c r="B249" s="49">
        <v>3490.3072000000002</v>
      </c>
      <c r="C249" s="50">
        <v>6.5279999999999996</v>
      </c>
      <c r="D249" s="53">
        <f t="shared" si="6"/>
        <v>2.3004380975413445E-3</v>
      </c>
      <c r="E249" s="53">
        <f t="shared" si="7"/>
        <v>1.5292086839069135E-4</v>
      </c>
    </row>
    <row r="250" spans="1:5" ht="15" thickBot="1">
      <c r="A250" s="42"/>
      <c r="B250" s="43"/>
      <c r="C250" s="28"/>
      <c r="D250" s="29"/>
      <c r="E250" s="29"/>
    </row>
    <row r="251" spans="1:5" ht="15" thickBot="1">
      <c r="A251" s="22"/>
      <c r="B251" s="23"/>
    </row>
    <row r="252" spans="1:5" ht="15" thickBot="1">
      <c r="A252" s="20"/>
      <c r="B252" s="21"/>
    </row>
    <row r="253" spans="1:5" ht="15" thickBot="1">
      <c r="A253" s="22"/>
      <c r="B253" s="23"/>
    </row>
    <row r="254" spans="1:5" ht="15" thickBot="1">
      <c r="A254" s="20"/>
      <c r="B254" s="21"/>
    </row>
    <row r="255" spans="1:5" ht="15" thickBot="1">
      <c r="A255" s="22"/>
      <c r="B255" s="23"/>
    </row>
    <row r="256" spans="1:5" ht="15" thickBot="1">
      <c r="A256" s="20"/>
      <c r="B256" s="21"/>
    </row>
    <row r="257" spans="1:2" ht="15" thickBot="1">
      <c r="A257" s="22"/>
      <c r="B257" s="23"/>
    </row>
    <row r="258" spans="1:2" ht="15" thickBot="1">
      <c r="A258" s="20"/>
      <c r="B258" s="21"/>
    </row>
    <row r="259" spans="1:2" ht="15" thickBot="1">
      <c r="A259" s="22"/>
      <c r="B259" s="23"/>
    </row>
    <row r="260" spans="1:2" ht="15" thickBot="1">
      <c r="A260" s="20"/>
      <c r="B260" s="21"/>
    </row>
    <row r="261" spans="1:2" ht="15" thickBot="1">
      <c r="A261" s="22"/>
      <c r="B261" s="23"/>
    </row>
    <row r="262" spans="1:2" ht="15" thickBot="1">
      <c r="A262" s="20"/>
      <c r="B262" s="21"/>
    </row>
    <row r="263" spans="1:2" ht="15" thickBot="1">
      <c r="A263" s="22"/>
      <c r="B263" s="23"/>
    </row>
    <row r="264" spans="1:2" ht="15" thickBot="1">
      <c r="A264" s="20"/>
      <c r="B264" s="21"/>
    </row>
    <row r="265" spans="1:2" ht="15" thickBot="1">
      <c r="A265" s="22"/>
      <c r="B265" s="23"/>
    </row>
    <row r="266" spans="1:2" ht="15" thickBot="1">
      <c r="A266" s="20"/>
      <c r="B266" s="21"/>
    </row>
    <row r="267" spans="1:2" ht="15" thickBot="1">
      <c r="A267" s="22"/>
      <c r="B267" s="23"/>
    </row>
    <row r="268" spans="1:2" ht="15" thickBot="1">
      <c r="A268" s="20"/>
      <c r="B268" s="21"/>
    </row>
    <row r="269" spans="1:2" ht="15" thickBot="1">
      <c r="A269" s="22"/>
      <c r="B269" s="23"/>
    </row>
    <row r="270" spans="1:2" ht="15" thickBot="1">
      <c r="A270" s="20"/>
      <c r="B270" s="21"/>
    </row>
    <row r="271" spans="1:2" ht="15" thickBot="1">
      <c r="A271" s="22"/>
      <c r="B271" s="23"/>
    </row>
    <row r="272" spans="1:2" ht="15" thickBot="1">
      <c r="A272" s="20"/>
      <c r="B272" s="21"/>
    </row>
    <row r="273" spans="1:2" ht="15" thickBot="1">
      <c r="A273" s="22"/>
      <c r="B273" s="23"/>
    </row>
    <row r="274" spans="1:2" ht="15" thickBot="1">
      <c r="A274" s="20"/>
      <c r="B274" s="21"/>
    </row>
    <row r="275" spans="1:2" ht="15" thickBot="1">
      <c r="A275" s="22"/>
      <c r="B275" s="23"/>
    </row>
    <row r="276" spans="1:2" ht="15" thickBot="1">
      <c r="A276" s="20"/>
      <c r="B276" s="21"/>
    </row>
    <row r="277" spans="1:2" ht="15" thickBot="1">
      <c r="A277" s="22"/>
      <c r="B277" s="23"/>
    </row>
    <row r="278" spans="1:2" ht="15" thickBot="1">
      <c r="A278" s="20"/>
      <c r="B278" s="21"/>
    </row>
    <row r="279" spans="1:2" ht="15" thickBot="1">
      <c r="A279" s="22"/>
      <c r="B279" s="23"/>
    </row>
    <row r="280" spans="1:2" ht="15" thickBot="1">
      <c r="A280" s="20"/>
      <c r="B280" s="21"/>
    </row>
    <row r="281" spans="1:2" ht="15" thickBot="1">
      <c r="A281" s="22"/>
      <c r="B281" s="23"/>
    </row>
    <row r="282" spans="1:2" ht="15" thickBot="1">
      <c r="A282" s="20"/>
      <c r="B282" s="21"/>
    </row>
    <row r="283" spans="1:2" ht="15" thickBot="1">
      <c r="A283" s="22"/>
      <c r="B283" s="23"/>
    </row>
    <row r="284" spans="1:2" ht="15" thickBot="1">
      <c r="A284" s="20"/>
      <c r="B284" s="21"/>
    </row>
    <row r="285" spans="1:2" ht="15" thickBot="1">
      <c r="A285" s="22"/>
      <c r="B285" s="23"/>
    </row>
    <row r="286" spans="1:2" ht="15" thickBot="1">
      <c r="A286" s="20"/>
      <c r="B286" s="21"/>
    </row>
    <row r="287" spans="1:2" ht="15" thickBot="1">
      <c r="A287" s="22"/>
      <c r="B287" s="23"/>
    </row>
    <row r="288" spans="1:2" ht="15" thickBot="1">
      <c r="A288" s="20"/>
      <c r="B288" s="21"/>
    </row>
    <row r="289" spans="1:2" ht="15" thickBot="1">
      <c r="A289" s="22"/>
      <c r="B289" s="23"/>
    </row>
    <row r="290" spans="1:2" ht="15" thickBot="1">
      <c r="A290" s="20"/>
      <c r="B290" s="21"/>
    </row>
    <row r="291" spans="1:2" ht="15" thickBot="1">
      <c r="A291" s="22"/>
      <c r="B291" s="23"/>
    </row>
    <row r="292" spans="1:2" ht="15" thickBot="1">
      <c r="A292" s="20"/>
      <c r="B292" s="21"/>
    </row>
    <row r="293" spans="1:2" ht="15" thickBot="1">
      <c r="A293" s="22"/>
      <c r="B293" s="23"/>
    </row>
    <row r="294" spans="1:2" ht="15" thickBot="1">
      <c r="A294" s="20"/>
      <c r="B294" s="21"/>
    </row>
    <row r="295" spans="1:2" ht="15" thickBot="1">
      <c r="A295" s="22"/>
      <c r="B295" s="23"/>
    </row>
    <row r="296" spans="1:2" ht="15" thickBot="1">
      <c r="A296" s="20"/>
      <c r="B296" s="21"/>
    </row>
    <row r="297" spans="1:2" ht="15" thickBot="1">
      <c r="A297" s="22"/>
      <c r="B297" s="23"/>
    </row>
    <row r="298" spans="1:2" ht="15" thickBot="1">
      <c r="A298" s="20"/>
      <c r="B298" s="21"/>
    </row>
    <row r="299" spans="1:2" ht="15" thickBot="1">
      <c r="A299" s="22"/>
      <c r="B299" s="23"/>
    </row>
    <row r="300" spans="1:2" ht="15" thickBot="1">
      <c r="A300" s="20"/>
      <c r="B300" s="21"/>
    </row>
    <row r="301" spans="1:2" ht="15" thickBot="1">
      <c r="A301" s="24"/>
      <c r="B301" s="25"/>
    </row>
    <row r="302" spans="1:2" ht="15" thickBot="1">
      <c r="A302" s="20"/>
      <c r="B302" s="21"/>
    </row>
    <row r="303" spans="1:2" ht="15" thickBot="1">
      <c r="A303" s="22"/>
      <c r="B303" s="23"/>
    </row>
    <row r="304" spans="1:2" ht="15" thickBot="1">
      <c r="A304" s="20"/>
      <c r="B304" s="21"/>
    </row>
    <row r="305" spans="1:2" ht="15" thickBot="1">
      <c r="A305" s="22"/>
      <c r="B305" s="23"/>
    </row>
    <row r="306" spans="1:2" ht="15" thickBot="1">
      <c r="A306" s="20"/>
      <c r="B306" s="21"/>
    </row>
    <row r="307" spans="1:2" ht="15" thickBot="1">
      <c r="A307" s="22"/>
      <c r="B307" s="23"/>
    </row>
    <row r="308" spans="1:2" ht="15" thickBot="1">
      <c r="A308" s="20"/>
      <c r="B308" s="21"/>
    </row>
    <row r="309" spans="1:2" ht="15" thickBot="1">
      <c r="A309" s="22"/>
      <c r="B309" s="23"/>
    </row>
    <row r="310" spans="1:2" ht="15" thickBot="1">
      <c r="A310" s="20"/>
      <c r="B310" s="21"/>
    </row>
    <row r="311" spans="1:2" ht="15" thickBot="1">
      <c r="A311" s="22"/>
      <c r="B311" s="23"/>
    </row>
    <row r="312" spans="1:2" ht="15" thickBot="1">
      <c r="A312" s="20"/>
      <c r="B312" s="21"/>
    </row>
    <row r="313" spans="1:2" ht="15" thickBot="1">
      <c r="A313" s="22"/>
      <c r="B313" s="23"/>
    </row>
    <row r="314" spans="1:2" ht="15" thickBot="1">
      <c r="A314" s="20"/>
      <c r="B314" s="21"/>
    </row>
    <row r="315" spans="1:2" ht="15" thickBot="1">
      <c r="A315" s="22"/>
      <c r="B315" s="23"/>
    </row>
    <row r="316" spans="1:2" ht="15" thickBot="1">
      <c r="A316" s="26"/>
      <c r="B316" s="27"/>
    </row>
  </sheetData>
  <mergeCells count="5">
    <mergeCell ref="L2:M2"/>
    <mergeCell ref="L3:M3"/>
    <mergeCell ref="L4:M4"/>
    <mergeCell ref="L5:M5"/>
    <mergeCell ref="L6:M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AEF6-5810-4386-ABA8-EA7E501F07E9}">
  <sheetPr>
    <tabColor theme="4" tint="0.39997558519241921"/>
  </sheetPr>
  <dimension ref="A1:R250"/>
  <sheetViews>
    <sheetView zoomScale="85" workbookViewId="0">
      <selection activeCell="G18" sqref="G18"/>
    </sheetView>
  </sheetViews>
  <sheetFormatPr defaultRowHeight="14.4"/>
  <cols>
    <col min="1" max="1" width="12.109375" bestFit="1" customWidth="1"/>
    <col min="2" max="2" width="10" bestFit="1" customWidth="1"/>
    <col min="3" max="3" width="12" bestFit="1" customWidth="1"/>
    <col min="4" max="5" width="11.109375" bestFit="1" customWidth="1"/>
    <col min="6" max="6" width="12.109375" bestFit="1" customWidth="1"/>
    <col min="9" max="9" width="9.5546875" bestFit="1" customWidth="1"/>
    <col min="10" max="10" width="10.88671875" bestFit="1" customWidth="1"/>
    <col min="14" max="14" width="12.6640625" bestFit="1" customWidth="1"/>
    <col min="16" max="16" width="20.88671875" bestFit="1" customWidth="1"/>
    <col min="17" max="18" width="7" bestFit="1" customWidth="1"/>
  </cols>
  <sheetData>
    <row r="1" spans="1:18">
      <c r="A1" s="76" t="s">
        <v>0</v>
      </c>
      <c r="B1" s="77" t="s">
        <v>1</v>
      </c>
      <c r="C1" s="77" t="s">
        <v>37</v>
      </c>
      <c r="D1" s="77" t="s">
        <v>22</v>
      </c>
      <c r="E1" s="77" t="s">
        <v>2</v>
      </c>
      <c r="F1" s="10"/>
      <c r="H1" s="39" t="s">
        <v>26</v>
      </c>
      <c r="I1" s="39" t="s">
        <v>2</v>
      </c>
      <c r="J1" s="39" t="s">
        <v>22</v>
      </c>
      <c r="P1" s="39"/>
      <c r="Q1" s="39" t="s">
        <v>23</v>
      </c>
      <c r="R1" s="39" t="s">
        <v>24</v>
      </c>
    </row>
    <row r="2" spans="1:18">
      <c r="A2" s="12">
        <v>45628</v>
      </c>
      <c r="B2" s="37">
        <v>16.712700000000002</v>
      </c>
      <c r="C2" s="35">
        <v>71164.350000000006</v>
      </c>
      <c r="D2" s="16"/>
      <c r="E2" s="16"/>
      <c r="F2" s="30" t="s">
        <v>25</v>
      </c>
      <c r="H2" s="16" t="s">
        <v>3</v>
      </c>
      <c r="I2" s="17">
        <f>(B22-$B$2)/$B$2</f>
        <v>-4.6126598335397687E-2</v>
      </c>
      <c r="J2" s="17">
        <f>(C22-$C$2)/$C$2</f>
        <v>-4.4629087457413716E-2</v>
      </c>
      <c r="K2" s="2"/>
      <c r="L2" s="81" t="s">
        <v>15</v>
      </c>
      <c r="M2" s="81"/>
      <c r="N2" s="17">
        <f>(B248/B2)^(12/12)-1</f>
        <v>-2.5100671944090602E-2</v>
      </c>
      <c r="P2" s="16" t="s">
        <v>18</v>
      </c>
      <c r="Q2" s="66">
        <f>AVERAGE(I2:I13)</f>
        <v>-7.283981642702865E-2</v>
      </c>
      <c r="R2" s="66">
        <f>AVERAGE(J2:J13)</f>
        <v>-7.1581369979022827E-2</v>
      </c>
    </row>
    <row r="3" spans="1:18">
      <c r="A3" s="14">
        <v>45629</v>
      </c>
      <c r="B3" s="38">
        <v>16.882899999999999</v>
      </c>
      <c r="C3" s="35">
        <v>71890.75</v>
      </c>
      <c r="D3" s="17">
        <f>LN(C3/C2)</f>
        <v>1.0155614769219508E-2</v>
      </c>
      <c r="E3" s="17">
        <f>LN(B3/B2)</f>
        <v>1.0132365912627846E-2</v>
      </c>
      <c r="F3" s="32">
        <f>SLOPE(E3:E250,D3:D250)</f>
        <v>0.83109156493585712</v>
      </c>
      <c r="H3" s="16" t="s">
        <v>4</v>
      </c>
      <c r="I3" s="17">
        <f>(B45-$B$2)/$B$2</f>
        <v>-0.11436811526563644</v>
      </c>
      <c r="J3" s="17">
        <f>(C45-$C$2)/$C$2</f>
        <v>-0.11293576067230301</v>
      </c>
      <c r="K3" s="2"/>
      <c r="L3" s="80" t="s">
        <v>16</v>
      </c>
      <c r="M3" s="80"/>
      <c r="N3" s="17">
        <f>_xlfn.STDEV.S(I2:I13)</f>
        <v>5.1424236154983406E-2</v>
      </c>
      <c r="P3" s="16" t="s">
        <v>19</v>
      </c>
      <c r="Q3" s="66">
        <v>0.06</v>
      </c>
      <c r="R3" s="16"/>
    </row>
    <row r="4" spans="1:18">
      <c r="A4" s="12">
        <v>45630</v>
      </c>
      <c r="B4" s="37">
        <v>16.965900000000001</v>
      </c>
      <c r="C4" s="35">
        <v>72244.850000000006</v>
      </c>
      <c r="D4" s="17">
        <f>LN(C4/C3)</f>
        <v>4.9134386284352015E-3</v>
      </c>
      <c r="E4" s="17">
        <f>LN(B4/B3)</f>
        <v>4.9041718673633493E-3</v>
      </c>
      <c r="F4" s="31"/>
      <c r="H4" s="16" t="s">
        <v>5</v>
      </c>
      <c r="I4" s="17">
        <f>(B64-$B$2)/$B$2</f>
        <v>-0.19865132504023897</v>
      </c>
      <c r="J4" s="17">
        <f>(C64-$C$2)/$C$2</f>
        <v>-0.17420449986545242</v>
      </c>
      <c r="K4" s="2"/>
      <c r="L4" s="80" t="s">
        <v>17</v>
      </c>
      <c r="M4" s="80"/>
      <c r="N4" s="64">
        <f>(Q2-Q3)/N3</f>
        <v>-2.5832141876968926</v>
      </c>
    </row>
    <row r="5" spans="1:18">
      <c r="A5" s="14">
        <v>45631</v>
      </c>
      <c r="B5" s="38">
        <v>17.022600000000001</v>
      </c>
      <c r="C5" s="35">
        <v>72487.05</v>
      </c>
      <c r="D5" s="17">
        <f t="shared" ref="D5:D67" si="0">LN(C5/C4)</f>
        <v>3.3468810412332797E-3</v>
      </c>
      <c r="E5" s="17">
        <f t="shared" ref="E5:E67" si="1">LN(B5/B4)</f>
        <v>3.3364257085452759E-3</v>
      </c>
      <c r="F5" s="31"/>
      <c r="H5" s="16" t="s">
        <v>6</v>
      </c>
      <c r="I5" s="17">
        <f>(B84-$B$2)/$B$2</f>
        <v>-0.11467925589521755</v>
      </c>
      <c r="J5" s="17">
        <f>(C84-$C$2)/$C$2</f>
        <v>-0.114118234762209</v>
      </c>
      <c r="K5" s="2"/>
      <c r="L5" s="80" t="s">
        <v>20</v>
      </c>
      <c r="M5" s="80"/>
      <c r="N5" s="65">
        <f>(Q2-Q3)/F3</f>
        <v>-0.15983776280689491</v>
      </c>
    </row>
    <row r="6" spans="1:18">
      <c r="A6" s="12">
        <v>45632</v>
      </c>
      <c r="B6" s="37">
        <v>17.1524</v>
      </c>
      <c r="C6" s="35">
        <v>73040.399999999994</v>
      </c>
      <c r="D6" s="17">
        <f t="shared" si="0"/>
        <v>7.6047875065782368E-3</v>
      </c>
      <c r="E6" s="17">
        <f t="shared" si="1"/>
        <v>7.5962325764918478E-3</v>
      </c>
      <c r="F6" s="31"/>
      <c r="H6" s="16" t="s">
        <v>7</v>
      </c>
      <c r="I6" s="17">
        <f>(B103-$B$2)/$B$2</f>
        <v>-9.4311511604947232E-2</v>
      </c>
      <c r="J6" s="17">
        <f>(C103-$C$2)/$C$2</f>
        <v>-9.352295074710873E-2</v>
      </c>
      <c r="K6" s="2"/>
      <c r="L6" s="80" t="s">
        <v>21</v>
      </c>
      <c r="M6" s="80"/>
      <c r="N6" s="66">
        <f>Q2-(Q3+F3*(R2-Q3))</f>
        <v>-2.3483649734758569E-2</v>
      </c>
    </row>
    <row r="7" spans="1:18">
      <c r="A7" s="14">
        <v>45635</v>
      </c>
      <c r="B7" s="38">
        <v>17.074000000000002</v>
      </c>
      <c r="C7" s="35">
        <v>72708.100000000006</v>
      </c>
      <c r="D7" s="17">
        <f t="shared" si="0"/>
        <v>-4.5599176085986768E-3</v>
      </c>
      <c r="E7" s="17">
        <f t="shared" si="1"/>
        <v>-4.5812669238712925E-3</v>
      </c>
      <c r="F7" s="31"/>
      <c r="H7" s="16" t="s">
        <v>8</v>
      </c>
      <c r="I7" s="17">
        <f>(B124-$B$2)/$B$2</f>
        <v>-6.2497382230280028E-2</v>
      </c>
      <c r="J7" s="17">
        <f>(C124-$C$2)/$C$2</f>
        <v>-6.1871569121336775E-2</v>
      </c>
      <c r="K7" s="2"/>
    </row>
    <row r="8" spans="1:18">
      <c r="A8" s="12">
        <v>45636</v>
      </c>
      <c r="B8" s="37">
        <v>17.164899999999999</v>
      </c>
      <c r="C8" s="35">
        <v>73096.45</v>
      </c>
      <c r="D8" s="17">
        <f t="shared" si="0"/>
        <v>5.3270068506131654E-3</v>
      </c>
      <c r="E8" s="17">
        <f t="shared" si="1"/>
        <v>5.3097624962395269E-3</v>
      </c>
      <c r="F8" s="31"/>
      <c r="H8" s="16" t="s">
        <v>9</v>
      </c>
      <c r="I8" s="17">
        <f>(B145-$B$2)/$B$2</f>
        <v>-3.0342194857802818E-2</v>
      </c>
      <c r="J8" s="17">
        <f>(C145-$C$2)/$C$2</f>
        <v>-3.0438695779558284E-2</v>
      </c>
      <c r="K8" s="2"/>
      <c r="P8" s="3"/>
    </row>
    <row r="9" spans="1:18">
      <c r="A9" s="14">
        <v>45637</v>
      </c>
      <c r="B9" s="38">
        <v>17.210699999999999</v>
      </c>
      <c r="C9" s="35">
        <v>73292.149999999994</v>
      </c>
      <c r="D9" s="17">
        <f t="shared" si="0"/>
        <v>2.6737070589310653E-3</v>
      </c>
      <c r="E9" s="17">
        <f t="shared" si="1"/>
        <v>2.6646823386565319E-3</v>
      </c>
      <c r="F9" s="31"/>
      <c r="H9" s="16" t="s">
        <v>10</v>
      </c>
      <c r="I9" s="17">
        <f>(B168-$B$2)/$B$2</f>
        <v>-5.5837776062515394E-2</v>
      </c>
      <c r="J9" s="17">
        <f>(C168-$C$2)/$C$2</f>
        <v>-5.7166263726149559E-2</v>
      </c>
      <c r="K9" s="2"/>
      <c r="P9" s="6"/>
    </row>
    <row r="10" spans="1:18">
      <c r="A10" s="12">
        <v>45638</v>
      </c>
      <c r="B10" s="37">
        <v>17.161300000000001</v>
      </c>
      <c r="C10" s="35">
        <v>73082.600000000006</v>
      </c>
      <c r="D10" s="17">
        <f t="shared" si="0"/>
        <v>-2.8632006976082227E-3</v>
      </c>
      <c r="E10" s="17">
        <f t="shared" si="1"/>
        <v>-2.8744346568972475E-3</v>
      </c>
      <c r="F10" s="31"/>
      <c r="H10" s="16" t="s">
        <v>11</v>
      </c>
      <c r="I10" s="17">
        <f>(B187-$B$2)/$B$2</f>
        <v>-7.2890675953017833E-2</v>
      </c>
      <c r="J10" s="17">
        <f>(C187-$C$2)/$C$2</f>
        <v>-7.6142057083357126E-2</v>
      </c>
      <c r="K10" s="2"/>
    </row>
    <row r="11" spans="1:18">
      <c r="A11" s="14">
        <v>45639</v>
      </c>
      <c r="B11" s="38">
        <v>17.133800000000001</v>
      </c>
      <c r="C11" s="35">
        <v>72965.95</v>
      </c>
      <c r="D11" s="17">
        <f t="shared" si="0"/>
        <v>-1.5974143502962028E-3</v>
      </c>
      <c r="E11" s="17">
        <f t="shared" si="1"/>
        <v>-1.603727989948234E-3</v>
      </c>
      <c r="F11" s="31"/>
      <c r="H11" s="16" t="s">
        <v>12</v>
      </c>
      <c r="I11" s="17">
        <f>(B209-$B$2)/$B$2</f>
        <v>-4.3715258456144171E-2</v>
      </c>
      <c r="J11" s="17">
        <f>(C209-$C$2)/$C$2</f>
        <v>-4.6641330947307345E-2</v>
      </c>
      <c r="K11" s="2"/>
    </row>
    <row r="12" spans="1:18">
      <c r="A12" s="12">
        <v>45642</v>
      </c>
      <c r="B12" s="37">
        <v>17.177800000000001</v>
      </c>
      <c r="C12" s="35">
        <v>73155.600000000006</v>
      </c>
      <c r="D12" s="17">
        <f t="shared" si="0"/>
        <v>2.5957855838526179E-3</v>
      </c>
      <c r="E12" s="17">
        <f t="shared" si="1"/>
        <v>2.5647317011609689E-3</v>
      </c>
      <c r="F12" s="31"/>
      <c r="H12" s="16" t="s">
        <v>13</v>
      </c>
      <c r="I12" s="17">
        <f>(B229-$B$2)/$B$2</f>
        <v>-1.5557031479054942E-2</v>
      </c>
      <c r="J12" s="17">
        <f>(C229-$C$2)/$C$2</f>
        <v>-1.8824031976685036E-2</v>
      </c>
      <c r="K12" s="2"/>
    </row>
    <row r="13" spans="1:18">
      <c r="A13" s="14">
        <v>45643</v>
      </c>
      <c r="B13" s="38">
        <v>16.950600000000001</v>
      </c>
      <c r="C13" s="35">
        <v>72188</v>
      </c>
      <c r="D13" s="17">
        <f t="shared" si="0"/>
        <v>-1.3314852460818906E-2</v>
      </c>
      <c r="E13" s="17">
        <f t="shared" si="1"/>
        <v>-1.3314621047280983E-2</v>
      </c>
      <c r="F13" s="31"/>
      <c r="H13" s="16" t="s">
        <v>14</v>
      </c>
      <c r="I13" s="17">
        <f>(B248-$B$2)/$B$2</f>
        <v>-2.5100671944090592E-2</v>
      </c>
      <c r="J13" s="17">
        <f>(C248-$C$2)/$C$2</f>
        <v>-2.8481957609393024E-2</v>
      </c>
      <c r="K13" s="2"/>
    </row>
    <row r="14" spans="1:18">
      <c r="A14" s="12">
        <v>45644</v>
      </c>
      <c r="B14" s="37">
        <v>16.7303</v>
      </c>
      <c r="C14" s="35">
        <v>71250</v>
      </c>
      <c r="D14" s="17">
        <f t="shared" si="0"/>
        <v>-1.3079007950291766E-2</v>
      </c>
      <c r="E14" s="17">
        <f t="shared" si="1"/>
        <v>-1.3081784733150555E-2</v>
      </c>
      <c r="F14" s="31"/>
    </row>
    <row r="15" spans="1:18">
      <c r="A15" s="14">
        <v>45645</v>
      </c>
      <c r="B15" s="38">
        <v>16.583500000000001</v>
      </c>
      <c r="C15" s="35">
        <v>70625.7</v>
      </c>
      <c r="D15" s="17">
        <f t="shared" si="0"/>
        <v>-8.8007182268487593E-3</v>
      </c>
      <c r="E15" s="17">
        <f t="shared" si="1"/>
        <v>-8.8132215596497775E-3</v>
      </c>
      <c r="F15" s="31"/>
    </row>
    <row r="16" spans="1:18">
      <c r="A16" s="12">
        <v>45646</v>
      </c>
      <c r="B16" s="37">
        <v>16.132000000000001</v>
      </c>
      <c r="C16" s="35">
        <v>68702.649999999994</v>
      </c>
      <c r="D16" s="17">
        <f t="shared" si="0"/>
        <v>-2.7606328929540406E-2</v>
      </c>
      <c r="E16" s="17">
        <f t="shared" si="1"/>
        <v>-2.7603348126123223E-2</v>
      </c>
      <c r="F16" s="31"/>
    </row>
    <row r="17" spans="1:6">
      <c r="A17" s="14">
        <v>45649</v>
      </c>
      <c r="B17" s="38">
        <v>16.1754</v>
      </c>
      <c r="C17" s="35">
        <v>68888.95</v>
      </c>
      <c r="D17" s="17">
        <f t="shared" si="0"/>
        <v>2.7080158069277562E-3</v>
      </c>
      <c r="E17" s="17">
        <f t="shared" si="1"/>
        <v>2.6866925909384545E-3</v>
      </c>
      <c r="F17" s="31"/>
    </row>
    <row r="18" spans="1:6">
      <c r="A18" s="12">
        <v>45650</v>
      </c>
      <c r="B18" s="37">
        <v>16.180499999999999</v>
      </c>
      <c r="C18" s="35">
        <v>68857.25</v>
      </c>
      <c r="D18" s="17">
        <f t="shared" si="0"/>
        <v>-4.6026678862462836E-4</v>
      </c>
      <c r="E18" s="17">
        <f t="shared" si="1"/>
        <v>3.1524389939597571E-4</v>
      </c>
      <c r="F18" s="31"/>
    </row>
    <row r="19" spans="1:6">
      <c r="A19" s="14">
        <v>45652</v>
      </c>
      <c r="B19" s="38">
        <v>16.252700000000001</v>
      </c>
      <c r="C19" s="35">
        <v>69165.850000000006</v>
      </c>
      <c r="D19" s="17">
        <f t="shared" si="0"/>
        <v>4.4717226933479121E-3</v>
      </c>
      <c r="E19" s="17">
        <f t="shared" si="1"/>
        <v>4.4522353184227106E-3</v>
      </c>
      <c r="F19" s="31"/>
    </row>
    <row r="20" spans="1:6">
      <c r="A20" s="12">
        <v>45653</v>
      </c>
      <c r="B20" s="37">
        <v>16.1096</v>
      </c>
      <c r="C20" s="35">
        <v>68557.149999999994</v>
      </c>
      <c r="D20" s="17">
        <f t="shared" si="0"/>
        <v>-8.8395397067682641E-3</v>
      </c>
      <c r="E20" s="17">
        <f t="shared" si="1"/>
        <v>-8.8436812378203146E-3</v>
      </c>
      <c r="F20" s="31"/>
    </row>
    <row r="21" spans="1:6">
      <c r="A21" s="14">
        <v>45656</v>
      </c>
      <c r="B21" s="38">
        <v>15.9574</v>
      </c>
      <c r="C21" s="35">
        <v>68063.8</v>
      </c>
      <c r="D21" s="17">
        <f t="shared" si="0"/>
        <v>-7.2222033946513836E-3</v>
      </c>
      <c r="E21" s="17">
        <f t="shared" si="1"/>
        <v>-9.4926960993966421E-3</v>
      </c>
      <c r="F21" s="31"/>
    </row>
    <row r="22" spans="1:6">
      <c r="A22" s="12">
        <v>45657</v>
      </c>
      <c r="B22" s="37">
        <v>15.941800000000001</v>
      </c>
      <c r="C22" s="35">
        <v>67988.350000000006</v>
      </c>
      <c r="D22" s="17">
        <f t="shared" si="0"/>
        <v>-1.1091336334594559E-3</v>
      </c>
      <c r="E22" s="17">
        <f t="shared" si="1"/>
        <v>-9.7808103298105561E-4</v>
      </c>
      <c r="F22" s="31"/>
    </row>
    <row r="23" spans="1:6">
      <c r="A23" s="14">
        <v>45658</v>
      </c>
      <c r="B23" s="38">
        <v>16.002500000000001</v>
      </c>
      <c r="C23" s="35">
        <v>68247.95</v>
      </c>
      <c r="D23" s="17">
        <f t="shared" si="0"/>
        <v>3.8110300147811585E-3</v>
      </c>
      <c r="E23" s="17">
        <f t="shared" si="1"/>
        <v>3.8003695843405487E-3</v>
      </c>
      <c r="F23" s="31"/>
    </row>
    <row r="24" spans="1:6">
      <c r="A24" s="12">
        <v>45659</v>
      </c>
      <c r="B24" s="37">
        <v>16.2028</v>
      </c>
      <c r="C24" s="35">
        <v>69103.600000000006</v>
      </c>
      <c r="D24" s="17">
        <f t="shared" si="0"/>
        <v>1.2459430840729823E-2</v>
      </c>
      <c r="E24" s="17">
        <f t="shared" si="1"/>
        <v>1.24391067754631E-2</v>
      </c>
      <c r="F24" s="31"/>
    </row>
    <row r="25" spans="1:6">
      <c r="A25" s="14">
        <v>45660</v>
      </c>
      <c r="B25" s="38">
        <v>16.223500000000001</v>
      </c>
      <c r="C25" s="35">
        <v>69192.45</v>
      </c>
      <c r="D25" s="17">
        <f t="shared" si="0"/>
        <v>1.2849248004480726E-3</v>
      </c>
      <c r="E25" s="17">
        <f t="shared" si="1"/>
        <v>1.2767415839531663E-3</v>
      </c>
      <c r="F25" s="31"/>
    </row>
    <row r="26" spans="1:6">
      <c r="A26" s="12">
        <v>45663</v>
      </c>
      <c r="B26" s="37">
        <v>15.708500000000001</v>
      </c>
      <c r="C26" s="35">
        <v>66996.800000000003</v>
      </c>
      <c r="D26" s="17">
        <f t="shared" si="0"/>
        <v>-3.2246895568767558E-2</v>
      </c>
      <c r="E26" s="17">
        <f t="shared" si="1"/>
        <v>-3.2258841270083598E-2</v>
      </c>
      <c r="F26" s="31"/>
    </row>
    <row r="27" spans="1:6">
      <c r="A27" s="14">
        <v>45664</v>
      </c>
      <c r="B27" s="38">
        <v>15.694800000000001</v>
      </c>
      <c r="C27" s="35">
        <v>66938.899999999994</v>
      </c>
      <c r="D27" s="17">
        <f t="shared" si="0"/>
        <v>-8.645940344031612E-4</v>
      </c>
      <c r="E27" s="17">
        <f t="shared" si="1"/>
        <v>-8.7251982238432436E-4</v>
      </c>
      <c r="F27" s="31"/>
    </row>
    <row r="28" spans="1:6">
      <c r="A28" s="12">
        <v>45665</v>
      </c>
      <c r="B28" s="37">
        <v>15.568899999999999</v>
      </c>
      <c r="C28" s="35">
        <v>66402.600000000006</v>
      </c>
      <c r="D28" s="17">
        <f t="shared" si="0"/>
        <v>-8.04405067963734E-3</v>
      </c>
      <c r="E28" s="17">
        <f t="shared" si="1"/>
        <v>-8.0541126341642528E-3</v>
      </c>
      <c r="F28" s="31"/>
    </row>
    <row r="29" spans="1:6">
      <c r="A29" s="14">
        <v>45666</v>
      </c>
      <c r="B29" s="38">
        <v>15.3706</v>
      </c>
      <c r="C29" s="35">
        <v>65557.2</v>
      </c>
      <c r="D29" s="17">
        <f t="shared" si="0"/>
        <v>-1.2813168347602129E-2</v>
      </c>
      <c r="E29" s="17">
        <f t="shared" si="1"/>
        <v>-1.2818740792997472E-2</v>
      </c>
      <c r="F29" s="31"/>
    </row>
    <row r="30" spans="1:6">
      <c r="A30" s="12">
        <v>45667</v>
      </c>
      <c r="B30" s="37">
        <v>15.065799999999999</v>
      </c>
      <c r="C30" s="35">
        <v>64257.1</v>
      </c>
      <c r="D30" s="17">
        <f t="shared" si="0"/>
        <v>-2.0030820488106556E-2</v>
      </c>
      <c r="E30" s="17">
        <f t="shared" si="1"/>
        <v>-2.0029319482087124E-2</v>
      </c>
      <c r="F30" s="31"/>
    </row>
    <row r="31" spans="1:6">
      <c r="A31" s="14">
        <v>45670</v>
      </c>
      <c r="B31" s="38">
        <v>14.414899999999999</v>
      </c>
      <c r="C31" s="35">
        <v>61481.55</v>
      </c>
      <c r="D31" s="17">
        <f t="shared" si="0"/>
        <v>-4.4155093703114601E-2</v>
      </c>
      <c r="E31" s="17">
        <f t="shared" si="1"/>
        <v>-4.4164880543593812E-2</v>
      </c>
      <c r="F31" s="31"/>
    </row>
    <row r="32" spans="1:6">
      <c r="A32" s="12">
        <v>45671</v>
      </c>
      <c r="B32" s="37">
        <v>14.790100000000001</v>
      </c>
      <c r="C32" s="35">
        <v>63084.1</v>
      </c>
      <c r="D32" s="17">
        <f t="shared" si="0"/>
        <v>2.5731627008587915E-2</v>
      </c>
      <c r="E32" s="17">
        <f t="shared" si="1"/>
        <v>2.5695644176943238E-2</v>
      </c>
      <c r="F32" s="31"/>
    </row>
    <row r="33" spans="1:6">
      <c r="A33" s="14">
        <v>45672</v>
      </c>
      <c r="B33" s="38">
        <v>14.920199999999999</v>
      </c>
      <c r="C33" s="35">
        <v>63639.55</v>
      </c>
      <c r="D33" s="17">
        <f t="shared" si="0"/>
        <v>8.7663756080152526E-3</v>
      </c>
      <c r="E33" s="17">
        <f t="shared" si="1"/>
        <v>8.7579614864376452E-3</v>
      </c>
      <c r="F33" s="31"/>
    </row>
    <row r="34" spans="1:6">
      <c r="A34" s="12">
        <v>45673</v>
      </c>
      <c r="B34" s="37">
        <v>15.136799999999999</v>
      </c>
      <c r="C34" s="35">
        <v>64564.5</v>
      </c>
      <c r="D34" s="17">
        <f t="shared" si="0"/>
        <v>1.4429591714736803E-2</v>
      </c>
      <c r="E34" s="17">
        <f t="shared" si="1"/>
        <v>1.4412865523905975E-2</v>
      </c>
      <c r="F34" s="31"/>
    </row>
    <row r="35" spans="1:6">
      <c r="A35" s="14">
        <v>45674</v>
      </c>
      <c r="B35" s="38">
        <v>15.251300000000001</v>
      </c>
      <c r="C35" s="35">
        <v>65053.599999999999</v>
      </c>
      <c r="D35" s="17">
        <f t="shared" si="0"/>
        <v>7.5468213369704667E-3</v>
      </c>
      <c r="E35" s="17">
        <f t="shared" si="1"/>
        <v>7.5358802864205566E-3</v>
      </c>
      <c r="F35" s="31"/>
    </row>
    <row r="36" spans="1:6">
      <c r="A36" s="12">
        <v>45677</v>
      </c>
      <c r="B36" s="37">
        <v>15.263400000000001</v>
      </c>
      <c r="C36" s="35">
        <v>65106.15</v>
      </c>
      <c r="D36" s="17">
        <f t="shared" si="0"/>
        <v>8.074693268119203E-4</v>
      </c>
      <c r="E36" s="17">
        <f t="shared" si="1"/>
        <v>7.9306043540883784E-4</v>
      </c>
      <c r="F36" s="31"/>
    </row>
    <row r="37" spans="1:6">
      <c r="A37" s="14">
        <v>45678</v>
      </c>
      <c r="B37" s="38">
        <v>14.8649</v>
      </c>
      <c r="C37" s="35">
        <v>63406.15</v>
      </c>
      <c r="D37" s="17">
        <f t="shared" si="0"/>
        <v>-2.6458154905340127E-2</v>
      </c>
      <c r="E37" s="17">
        <f t="shared" si="1"/>
        <v>-2.6455076541381118E-2</v>
      </c>
      <c r="F37" s="31"/>
    </row>
    <row r="38" spans="1:6">
      <c r="A38" s="12">
        <v>45679</v>
      </c>
      <c r="B38" s="37">
        <v>14.7387</v>
      </c>
      <c r="C38" s="35">
        <v>62865.599999999999</v>
      </c>
      <c r="D38" s="17">
        <f t="shared" si="0"/>
        <v>-8.5617456321414893E-3</v>
      </c>
      <c r="E38" s="17">
        <f t="shared" si="1"/>
        <v>-8.5260417308165911E-3</v>
      </c>
      <c r="F38" s="31"/>
    </row>
    <row r="39" spans="1:6">
      <c r="A39" s="14">
        <v>45680</v>
      </c>
      <c r="B39" s="38">
        <v>14.8873</v>
      </c>
      <c r="C39" s="35">
        <v>63499.75</v>
      </c>
      <c r="D39" s="17">
        <f t="shared" si="0"/>
        <v>1.003685462191084E-2</v>
      </c>
      <c r="E39" s="17">
        <f t="shared" si="1"/>
        <v>1.003181301713351E-2</v>
      </c>
      <c r="F39" s="31"/>
    </row>
    <row r="40" spans="1:6">
      <c r="A40" s="12">
        <v>45681</v>
      </c>
      <c r="B40" s="37">
        <v>14.651400000000001</v>
      </c>
      <c r="C40" s="35">
        <v>62494</v>
      </c>
      <c r="D40" s="17">
        <f t="shared" si="0"/>
        <v>-1.5965416748961E-2</v>
      </c>
      <c r="E40" s="17">
        <f t="shared" si="1"/>
        <v>-1.5972606465037332E-2</v>
      </c>
      <c r="F40" s="31"/>
    </row>
    <row r="41" spans="1:6">
      <c r="A41" s="14">
        <v>45684</v>
      </c>
      <c r="B41" s="38">
        <v>14.2379</v>
      </c>
      <c r="C41" s="35">
        <v>60730.9</v>
      </c>
      <c r="D41" s="17">
        <f t="shared" si="0"/>
        <v>-2.8617922640661118E-2</v>
      </c>
      <c r="E41" s="17">
        <f t="shared" si="1"/>
        <v>-2.8628470838476076E-2</v>
      </c>
      <c r="F41" s="31"/>
    </row>
    <row r="42" spans="1:6">
      <c r="A42" s="12">
        <v>45685</v>
      </c>
      <c r="B42" s="37">
        <v>14.280200000000001</v>
      </c>
      <c r="C42" s="35">
        <v>60912.1</v>
      </c>
      <c r="D42" s="17">
        <f t="shared" si="0"/>
        <v>2.9792118580287698E-3</v>
      </c>
      <c r="E42" s="17">
        <f t="shared" si="1"/>
        <v>2.9665392169357643E-3</v>
      </c>
      <c r="F42" s="31"/>
    </row>
    <row r="43" spans="1:6">
      <c r="A43" s="14">
        <v>45686</v>
      </c>
      <c r="B43" s="38">
        <v>14.568199999999999</v>
      </c>
      <c r="C43" s="35">
        <v>62142.15</v>
      </c>
      <c r="D43" s="17">
        <f t="shared" si="0"/>
        <v>1.9992661306852521E-2</v>
      </c>
      <c r="E43" s="17">
        <f t="shared" si="1"/>
        <v>1.9967108635950206E-2</v>
      </c>
      <c r="F43" s="31"/>
    </row>
    <row r="44" spans="1:6">
      <c r="A44" s="12">
        <v>45687</v>
      </c>
      <c r="B44" s="37">
        <v>14.5808</v>
      </c>
      <c r="C44" s="35">
        <v>62193.15</v>
      </c>
      <c r="D44" s="17">
        <f t="shared" si="0"/>
        <v>8.2036240488792727E-4</v>
      </c>
      <c r="E44" s="17">
        <f t="shared" si="1"/>
        <v>8.6452370817335293E-4</v>
      </c>
      <c r="F44" s="31"/>
    </row>
    <row r="45" spans="1:6">
      <c r="A45" s="14">
        <v>45688</v>
      </c>
      <c r="B45" s="38">
        <v>14.801299999999999</v>
      </c>
      <c r="C45" s="35">
        <v>63127.35</v>
      </c>
      <c r="D45" s="17">
        <f t="shared" si="0"/>
        <v>1.4909249562192695E-2</v>
      </c>
      <c r="E45" s="17">
        <f t="shared" si="1"/>
        <v>1.5009419990664885E-2</v>
      </c>
      <c r="F45" s="31"/>
    </row>
    <row r="46" spans="1:6">
      <c r="A46" s="12">
        <v>45691</v>
      </c>
      <c r="B46" s="37">
        <v>14.6867</v>
      </c>
      <c r="C46" s="35">
        <v>63503.1</v>
      </c>
      <c r="D46" s="17">
        <f t="shared" si="0"/>
        <v>5.9346089793183574E-3</v>
      </c>
      <c r="E46" s="17">
        <f t="shared" si="1"/>
        <v>-7.7726924145588763E-3</v>
      </c>
      <c r="F46" s="31"/>
    </row>
    <row r="47" spans="1:6">
      <c r="A47" s="14">
        <v>45692</v>
      </c>
      <c r="B47" s="38">
        <v>14.9124</v>
      </c>
      <c r="C47" s="35">
        <v>62634.2</v>
      </c>
      <c r="D47" s="17">
        <f t="shared" si="0"/>
        <v>-1.3777268801683892E-2</v>
      </c>
      <c r="E47" s="17">
        <f t="shared" si="1"/>
        <v>1.5250759281980776E-2</v>
      </c>
      <c r="F47" s="31"/>
    </row>
    <row r="48" spans="1:6">
      <c r="A48" s="12">
        <v>45693</v>
      </c>
      <c r="B48" s="37">
        <v>15.0098</v>
      </c>
      <c r="C48" s="35">
        <v>63598.35</v>
      </c>
      <c r="D48" s="17">
        <f t="shared" si="0"/>
        <v>1.5276071810318018E-2</v>
      </c>
      <c r="E48" s="17">
        <f t="shared" si="1"/>
        <v>6.510239488420699E-3</v>
      </c>
      <c r="F48" s="31"/>
    </row>
    <row r="49" spans="1:6">
      <c r="A49" s="14">
        <v>45694</v>
      </c>
      <c r="B49" s="38">
        <v>14.898099999999999</v>
      </c>
      <c r="C49" s="35">
        <v>64012.800000000003</v>
      </c>
      <c r="D49" s="17">
        <f t="shared" si="0"/>
        <v>6.4955367490238834E-3</v>
      </c>
      <c r="E49" s="17">
        <f t="shared" si="1"/>
        <v>-7.4696330642985897E-3</v>
      </c>
      <c r="F49" s="31"/>
    </row>
    <row r="50" spans="1:6">
      <c r="A50" s="12">
        <v>45695</v>
      </c>
      <c r="B50" s="37">
        <v>14.901999999999999</v>
      </c>
      <c r="C50" s="35">
        <v>63536.7</v>
      </c>
      <c r="D50" s="17">
        <f t="shared" si="0"/>
        <v>-7.465371658157572E-3</v>
      </c>
      <c r="E50" s="17">
        <f t="shared" si="1"/>
        <v>2.6174408960136339E-4</v>
      </c>
      <c r="F50" s="31"/>
    </row>
    <row r="51" spans="1:6">
      <c r="A51" s="14">
        <v>45698</v>
      </c>
      <c r="B51" s="38">
        <v>14.6295</v>
      </c>
      <c r="C51" s="35">
        <v>63552.2</v>
      </c>
      <c r="D51" s="17">
        <f t="shared" si="0"/>
        <v>2.4392374277922984E-4</v>
      </c>
      <c r="E51" s="17">
        <f t="shared" si="1"/>
        <v>-1.8455394033493288E-2</v>
      </c>
      <c r="F51" s="31"/>
    </row>
    <row r="52" spans="1:6">
      <c r="A52" s="12">
        <v>45699</v>
      </c>
      <c r="B52" s="37">
        <v>14.263299999999999</v>
      </c>
      <c r="C52" s="35">
        <v>62390.3</v>
      </c>
      <c r="D52" s="17">
        <f t="shared" si="0"/>
        <v>-1.8451800872930798E-2</v>
      </c>
      <c r="E52" s="17">
        <f t="shared" si="1"/>
        <v>-2.5350233334782327E-2</v>
      </c>
      <c r="F52" s="31"/>
    </row>
    <row r="53" spans="1:6">
      <c r="A53" s="14">
        <v>45700</v>
      </c>
      <c r="B53" s="38">
        <v>14.2629</v>
      </c>
      <c r="C53" s="35">
        <v>60827.8</v>
      </c>
      <c r="D53" s="17">
        <f t="shared" si="0"/>
        <v>-2.5362893260714111E-2</v>
      </c>
      <c r="E53" s="17">
        <f t="shared" si="1"/>
        <v>-2.8044394277857394E-5</v>
      </c>
      <c r="F53" s="31"/>
    </row>
    <row r="54" spans="1:6">
      <c r="A54" s="12">
        <v>45701</v>
      </c>
      <c r="B54" s="37">
        <v>14.294</v>
      </c>
      <c r="C54" s="35">
        <v>60826.5</v>
      </c>
      <c r="D54" s="17">
        <f t="shared" si="0"/>
        <v>-2.1372035350248094E-5</v>
      </c>
      <c r="E54" s="17">
        <f t="shared" si="1"/>
        <v>2.1781084288049635E-3</v>
      </c>
      <c r="F54" s="31"/>
    </row>
    <row r="55" spans="1:6">
      <c r="A55" s="14">
        <v>45702</v>
      </c>
      <c r="B55" s="38">
        <v>13.9719</v>
      </c>
      <c r="C55" s="35">
        <v>60947.75</v>
      </c>
      <c r="D55" s="17">
        <f t="shared" si="0"/>
        <v>1.9913904634098786E-3</v>
      </c>
      <c r="E55" s="17">
        <f t="shared" si="1"/>
        <v>-2.2791699050300099E-2</v>
      </c>
      <c r="F55" s="31"/>
    </row>
    <row r="56" spans="1:6">
      <c r="A56" s="12">
        <v>45705</v>
      </c>
      <c r="B56" s="37">
        <v>13.945600000000001</v>
      </c>
      <c r="C56" s="35">
        <v>59557.95</v>
      </c>
      <c r="D56" s="17">
        <f t="shared" si="0"/>
        <v>-2.3067151591119817E-2</v>
      </c>
      <c r="E56" s="17">
        <f t="shared" si="1"/>
        <v>-1.8841234193780242E-3</v>
      </c>
      <c r="F56" s="31"/>
    </row>
    <row r="57" spans="1:6">
      <c r="A57" s="14">
        <v>45706</v>
      </c>
      <c r="B57" s="38">
        <v>13.949299999999999</v>
      </c>
      <c r="C57" s="35">
        <v>59446.55</v>
      </c>
      <c r="D57" s="17">
        <f t="shared" si="0"/>
        <v>-1.8721986570131382E-3</v>
      </c>
      <c r="E57" s="17">
        <f t="shared" si="1"/>
        <v>2.6528146877731327E-4</v>
      </c>
      <c r="F57" s="31"/>
    </row>
    <row r="58" spans="1:6">
      <c r="A58" s="12">
        <v>45707</v>
      </c>
      <c r="B58" s="37">
        <v>14.1149</v>
      </c>
      <c r="C58" s="35">
        <v>59449.4</v>
      </c>
      <c r="D58" s="17">
        <f t="shared" si="0"/>
        <v>4.7941077901305511E-5</v>
      </c>
      <c r="E58" s="17">
        <f t="shared" si="1"/>
        <v>1.1801649221762659E-2</v>
      </c>
      <c r="F58" s="31"/>
    </row>
    <row r="59" spans="1:6">
      <c r="A59" s="14">
        <v>45708</v>
      </c>
      <c r="B59" s="38">
        <v>14.3223</v>
      </c>
      <c r="C59" s="35">
        <v>60156.4</v>
      </c>
      <c r="D59" s="17">
        <f t="shared" si="0"/>
        <v>1.1822306854399868E-2</v>
      </c>
      <c r="E59" s="17">
        <f t="shared" si="1"/>
        <v>1.4586786141858446E-2</v>
      </c>
      <c r="F59" s="31"/>
    </row>
    <row r="60" spans="1:6">
      <c r="A60" s="12">
        <v>45709</v>
      </c>
      <c r="B60" s="37">
        <v>14.188000000000001</v>
      </c>
      <c r="C60" s="35">
        <v>61039.1</v>
      </c>
      <c r="D60" s="17">
        <f t="shared" si="0"/>
        <v>1.4566805012076444E-2</v>
      </c>
      <c r="E60" s="17">
        <f t="shared" si="1"/>
        <v>-9.4212262491319299E-3</v>
      </c>
      <c r="F60" s="31"/>
    </row>
    <row r="61" spans="1:6">
      <c r="A61" s="14">
        <v>45712</v>
      </c>
      <c r="B61" s="38">
        <v>14.020300000000001</v>
      </c>
      <c r="C61" s="35">
        <v>60466.8</v>
      </c>
      <c r="D61" s="17">
        <f t="shared" si="0"/>
        <v>-9.4201883554591269E-3</v>
      </c>
      <c r="E61" s="17">
        <f t="shared" si="1"/>
        <v>-1.1890257531012286E-2</v>
      </c>
      <c r="F61" s="31"/>
    </row>
    <row r="62" spans="1:6">
      <c r="A62" s="12">
        <v>45713</v>
      </c>
      <c r="B62" s="37">
        <v>13.9171</v>
      </c>
      <c r="C62" s="35">
        <v>59752.6</v>
      </c>
      <c r="D62" s="17">
        <f t="shared" si="0"/>
        <v>-1.1881749572923378E-2</v>
      </c>
      <c r="E62" s="17">
        <f t="shared" si="1"/>
        <v>-7.387979511826368E-3</v>
      </c>
      <c r="F62" s="31"/>
    </row>
    <row r="63" spans="1:6">
      <c r="A63" s="14">
        <v>45715</v>
      </c>
      <c r="B63" s="38">
        <v>13.789</v>
      </c>
      <c r="C63" s="35">
        <v>59312.5</v>
      </c>
      <c r="D63" s="17">
        <f t="shared" si="0"/>
        <v>-7.3926281390901847E-3</v>
      </c>
      <c r="E63" s="17">
        <f t="shared" si="1"/>
        <v>-9.247127008932661E-3</v>
      </c>
      <c r="F63" s="31"/>
    </row>
    <row r="64" spans="1:6">
      <c r="A64" s="12">
        <v>45716</v>
      </c>
      <c r="B64" s="37">
        <v>13.3927</v>
      </c>
      <c r="C64" s="35">
        <v>58767.199999999997</v>
      </c>
      <c r="D64" s="17">
        <f t="shared" si="0"/>
        <v>-9.2362002360217438E-3</v>
      </c>
      <c r="E64" s="17">
        <f t="shared" si="1"/>
        <v>-2.9161390466566638E-2</v>
      </c>
      <c r="F64" s="31"/>
    </row>
    <row r="65" spans="1:6">
      <c r="A65" s="14">
        <v>45719</v>
      </c>
      <c r="B65" s="38">
        <v>13.529199999999999</v>
      </c>
      <c r="C65" s="35">
        <v>57063.05</v>
      </c>
      <c r="D65" s="17">
        <f t="shared" si="0"/>
        <v>-2.9427079271171303E-2</v>
      </c>
      <c r="E65" s="17">
        <f t="shared" si="1"/>
        <v>1.014053017753226E-2</v>
      </c>
      <c r="F65" s="31"/>
    </row>
    <row r="66" spans="1:6">
      <c r="A66" s="12">
        <v>45720</v>
      </c>
      <c r="B66" s="37">
        <v>13.604100000000001</v>
      </c>
      <c r="C66" s="35">
        <v>57646.8</v>
      </c>
      <c r="D66" s="17">
        <f t="shared" si="0"/>
        <v>1.0177940939450406E-2</v>
      </c>
      <c r="E66" s="17">
        <f t="shared" si="1"/>
        <v>5.5209053265451377E-3</v>
      </c>
      <c r="F66" s="31"/>
    </row>
    <row r="67" spans="1:6">
      <c r="A67" s="14">
        <v>45721</v>
      </c>
      <c r="B67" s="38">
        <v>13.9499</v>
      </c>
      <c r="C67" s="35">
        <v>57966.85</v>
      </c>
      <c r="D67" s="17">
        <f t="shared" si="0"/>
        <v>5.5365576219274749E-3</v>
      </c>
      <c r="E67" s="17">
        <f t="shared" si="1"/>
        <v>2.5101121885784953E-2</v>
      </c>
      <c r="F67" s="31"/>
    </row>
    <row r="68" spans="1:6">
      <c r="A68" s="12">
        <v>45722</v>
      </c>
      <c r="B68" s="37">
        <v>14.1076</v>
      </c>
      <c r="C68" s="35">
        <v>59441.65</v>
      </c>
      <c r="D68" s="17">
        <f t="shared" ref="D68:D131" si="2">LN(C68/C67)</f>
        <v>2.5123863684687348E-2</v>
      </c>
      <c r="E68" s="17">
        <f t="shared" ref="E68:E131" si="3">LN(B68/B67)</f>
        <v>1.1241319481276624E-2</v>
      </c>
      <c r="F68" s="31"/>
    </row>
    <row r="69" spans="1:6">
      <c r="A69" s="14">
        <v>45723</v>
      </c>
      <c r="B69" s="38">
        <v>14.046099999999999</v>
      </c>
      <c r="C69" s="35">
        <v>60114.35</v>
      </c>
      <c r="D69" s="17">
        <f t="shared" si="2"/>
        <v>1.1253422650231099E-2</v>
      </c>
      <c r="E69" s="17">
        <f t="shared" si="3"/>
        <v>-4.3688820880747447E-3</v>
      </c>
      <c r="F69" s="31"/>
    </row>
    <row r="70" spans="1:6">
      <c r="A70" s="12">
        <v>45726</v>
      </c>
      <c r="B70" s="37">
        <v>13.839</v>
      </c>
      <c r="C70" s="35">
        <v>59852.55</v>
      </c>
      <c r="D70" s="17">
        <f t="shared" si="2"/>
        <v>-4.3645441466089079E-3</v>
      </c>
      <c r="E70" s="17">
        <f t="shared" si="3"/>
        <v>-1.4854083932308419E-2</v>
      </c>
      <c r="F70" s="31"/>
    </row>
    <row r="71" spans="1:6">
      <c r="A71" s="14">
        <v>45727</v>
      </c>
      <c r="B71" s="38">
        <v>13.909700000000001</v>
      </c>
      <c r="C71" s="35">
        <v>58972</v>
      </c>
      <c r="D71" s="17">
        <f t="shared" si="2"/>
        <v>-1.4821282625067758E-2</v>
      </c>
      <c r="E71" s="17">
        <f t="shared" si="3"/>
        <v>5.095745241153693E-3</v>
      </c>
      <c r="F71" s="31"/>
    </row>
    <row r="72" spans="1:6">
      <c r="A72" s="12">
        <v>45728</v>
      </c>
      <c r="B72" s="37">
        <v>13.910399999999999</v>
      </c>
      <c r="C72" s="35">
        <v>59274.1</v>
      </c>
      <c r="D72" s="17">
        <f t="shared" si="2"/>
        <v>5.1096933817342373E-3</v>
      </c>
      <c r="E72" s="17">
        <f t="shared" si="3"/>
        <v>5.0323327388867629E-5</v>
      </c>
      <c r="F72" s="31"/>
    </row>
    <row r="73" spans="1:6">
      <c r="A73" s="14">
        <v>45729</v>
      </c>
      <c r="B73" s="38">
        <v>13.839600000000001</v>
      </c>
      <c r="C73" s="35">
        <v>59277.55</v>
      </c>
      <c r="D73" s="17">
        <f t="shared" si="2"/>
        <v>5.820247969526653E-5</v>
      </c>
      <c r="E73" s="17">
        <f t="shared" si="3"/>
        <v>-5.1027137745794163E-3</v>
      </c>
      <c r="F73" s="31"/>
    </row>
    <row r="74" spans="1:6">
      <c r="A74" s="12">
        <v>45733</v>
      </c>
      <c r="B74" s="37">
        <v>13.940200000000001</v>
      </c>
      <c r="C74" s="35">
        <v>58976.1</v>
      </c>
      <c r="D74" s="17">
        <f t="shared" si="2"/>
        <v>-5.0983737580356852E-3</v>
      </c>
      <c r="E74" s="17">
        <f t="shared" si="3"/>
        <v>7.242704393996869E-3</v>
      </c>
      <c r="F74" s="31"/>
    </row>
    <row r="75" spans="1:6">
      <c r="A75" s="14">
        <v>45734</v>
      </c>
      <c r="B75" s="38">
        <v>14.3073</v>
      </c>
      <c r="C75" s="35">
        <v>59406.6</v>
      </c>
      <c r="D75" s="17">
        <f t="shared" si="2"/>
        <v>7.2730542163609432E-3</v>
      </c>
      <c r="E75" s="17">
        <f t="shared" si="3"/>
        <v>2.5993144089155134E-2</v>
      </c>
      <c r="F75" s="31"/>
    </row>
    <row r="76" spans="1:6">
      <c r="A76" s="12">
        <v>45735</v>
      </c>
      <c r="B76" s="37">
        <v>14.541</v>
      </c>
      <c r="C76" s="35">
        <v>60971.4</v>
      </c>
      <c r="D76" s="17">
        <f t="shared" si="2"/>
        <v>2.5999570461285888E-2</v>
      </c>
      <c r="E76" s="17">
        <f t="shared" si="3"/>
        <v>1.6202349010440258E-2</v>
      </c>
      <c r="F76" s="31"/>
    </row>
    <row r="77" spans="1:6">
      <c r="A77" s="14">
        <v>45736</v>
      </c>
      <c r="B77" s="38">
        <v>14.6243</v>
      </c>
      <c r="C77" s="35">
        <v>61953.45</v>
      </c>
      <c r="D77" s="17">
        <f t="shared" si="2"/>
        <v>1.5978394828542224E-2</v>
      </c>
      <c r="E77" s="17">
        <f t="shared" si="3"/>
        <v>5.7122831932264135E-3</v>
      </c>
      <c r="F77" s="31"/>
    </row>
    <row r="78" spans="1:6">
      <c r="A78" s="12">
        <v>45737</v>
      </c>
      <c r="B78" s="37">
        <v>14.753399999999999</v>
      </c>
      <c r="C78" s="35">
        <v>62309.35</v>
      </c>
      <c r="D78" s="17">
        <f t="shared" si="2"/>
        <v>5.72819819215813E-3</v>
      </c>
      <c r="E78" s="17">
        <f t="shared" si="3"/>
        <v>8.7890359728334203E-3</v>
      </c>
      <c r="F78" s="31"/>
    </row>
    <row r="79" spans="1:6">
      <c r="A79" s="14">
        <v>45740</v>
      </c>
      <c r="B79" s="38">
        <v>14.9366</v>
      </c>
      <c r="C79" s="35">
        <v>62855.85</v>
      </c>
      <c r="D79" s="17">
        <f t="shared" si="2"/>
        <v>8.7325146743330983E-3</v>
      </c>
      <c r="E79" s="17">
        <f t="shared" si="3"/>
        <v>1.2341012133128722E-2</v>
      </c>
      <c r="F79" s="31"/>
    </row>
    <row r="80" spans="1:6">
      <c r="A80" s="12">
        <v>45741</v>
      </c>
      <c r="B80" s="37">
        <v>14.7172</v>
      </c>
      <c r="C80" s="35">
        <v>63638.400000000001</v>
      </c>
      <c r="D80" s="17">
        <f t="shared" si="2"/>
        <v>1.2373052269397595E-2</v>
      </c>
      <c r="E80" s="17">
        <f t="shared" si="3"/>
        <v>-1.4797699014733766E-2</v>
      </c>
      <c r="F80" s="31"/>
    </row>
    <row r="81" spans="1:6">
      <c r="A81" s="14">
        <v>45742</v>
      </c>
      <c r="B81" s="38">
        <v>14.6645</v>
      </c>
      <c r="C81" s="35">
        <v>62703.75</v>
      </c>
      <c r="D81" s="17">
        <f t="shared" si="2"/>
        <v>-1.4795807270193678E-2</v>
      </c>
      <c r="E81" s="17">
        <f t="shared" si="3"/>
        <v>-3.5872707511274563E-3</v>
      </c>
      <c r="F81" s="31"/>
    </row>
    <row r="82" spans="1:6">
      <c r="A82" s="12">
        <v>45743</v>
      </c>
      <c r="B82" s="37">
        <v>14.8893</v>
      </c>
      <c r="C82" s="35">
        <v>62460.800000000003</v>
      </c>
      <c r="D82" s="17">
        <f t="shared" si="2"/>
        <v>-3.8820944926968707E-3</v>
      </c>
      <c r="E82" s="17">
        <f t="shared" si="3"/>
        <v>1.5213227109112005E-2</v>
      </c>
      <c r="F82" s="31"/>
    </row>
    <row r="83" spans="1:6">
      <c r="A83" s="14">
        <v>45744</v>
      </c>
      <c r="B83" s="38">
        <v>14.7963</v>
      </c>
      <c r="C83" s="35">
        <v>63442.55</v>
      </c>
      <c r="D83" s="17">
        <f t="shared" si="2"/>
        <v>1.559561200889955E-2</v>
      </c>
      <c r="E83" s="17">
        <f t="shared" si="3"/>
        <v>-6.2656846589278616E-3</v>
      </c>
      <c r="F83" s="31"/>
    </row>
    <row r="84" spans="1:6">
      <c r="A84" s="12">
        <v>45747</v>
      </c>
      <c r="B84" s="37">
        <v>14.796099999999999</v>
      </c>
      <c r="C84" s="35">
        <v>63043.199999999997</v>
      </c>
      <c r="D84" s="17">
        <f t="shared" si="2"/>
        <v>-6.3145662964281179E-3</v>
      </c>
      <c r="E84" s="17">
        <f t="shared" si="3"/>
        <v>-1.3516984090782441E-5</v>
      </c>
      <c r="F84" s="31"/>
    </row>
    <row r="85" spans="1:6">
      <c r="A85" s="14">
        <v>45748</v>
      </c>
      <c r="B85" s="38">
        <v>14.6386</v>
      </c>
      <c r="C85" s="35">
        <v>62372.1</v>
      </c>
      <c r="D85" s="17">
        <f t="shared" si="2"/>
        <v>-1.0702145677747662E-2</v>
      </c>
      <c r="E85" s="17">
        <f t="shared" si="3"/>
        <v>-1.0701756985592777E-2</v>
      </c>
      <c r="F85" s="31"/>
    </row>
    <row r="86" spans="1:6">
      <c r="A86" s="12">
        <v>45749</v>
      </c>
      <c r="B86" s="37">
        <v>14.8062</v>
      </c>
      <c r="C86" s="35">
        <v>63087.1</v>
      </c>
      <c r="D86" s="17">
        <f t="shared" si="2"/>
        <v>1.1398251241164168E-2</v>
      </c>
      <c r="E86" s="17">
        <f t="shared" si="3"/>
        <v>1.1384136421779665E-2</v>
      </c>
      <c r="F86" s="31"/>
    </row>
    <row r="87" spans="1:6">
      <c r="A87" s="14">
        <v>45750</v>
      </c>
      <c r="B87" s="38">
        <v>14.8109</v>
      </c>
      <c r="C87" s="35">
        <v>63104.3</v>
      </c>
      <c r="D87" s="17">
        <f t="shared" si="2"/>
        <v>2.7260177962225887E-4</v>
      </c>
      <c r="E87" s="17">
        <f t="shared" si="3"/>
        <v>3.173842165137288E-4</v>
      </c>
      <c r="F87" s="31"/>
    </row>
    <row r="88" spans="1:6">
      <c r="A88" s="12">
        <v>45751</v>
      </c>
      <c r="B88" s="37">
        <v>14.4275</v>
      </c>
      <c r="C88" s="35">
        <v>61468.7</v>
      </c>
      <c r="D88" s="17">
        <f t="shared" si="2"/>
        <v>-2.6260810858117236E-2</v>
      </c>
      <c r="E88" s="17">
        <f t="shared" si="3"/>
        <v>-2.6227288580485324E-2</v>
      </c>
      <c r="F88" s="31"/>
    </row>
    <row r="89" spans="1:6">
      <c r="A89" s="14">
        <v>45754</v>
      </c>
      <c r="B89" s="38">
        <v>13.9756</v>
      </c>
      <c r="C89" s="35">
        <v>59546.2</v>
      </c>
      <c r="D89" s="17">
        <f t="shared" si="2"/>
        <v>-3.1775620325059963E-2</v>
      </c>
      <c r="E89" s="17">
        <f t="shared" si="3"/>
        <v>-3.1823155673075594E-2</v>
      </c>
      <c r="F89" s="31"/>
    </row>
    <row r="90" spans="1:6">
      <c r="A90" s="12">
        <v>45755</v>
      </c>
      <c r="B90" s="37">
        <v>14.270799999999999</v>
      </c>
      <c r="C90" s="35">
        <v>60807.55</v>
      </c>
      <c r="D90" s="17">
        <f t="shared" si="2"/>
        <v>2.0961477051808775E-2</v>
      </c>
      <c r="E90" s="17">
        <f t="shared" si="3"/>
        <v>2.0902539655274166E-2</v>
      </c>
      <c r="F90" s="31"/>
    </row>
    <row r="91" spans="1:6">
      <c r="A91" s="14">
        <v>45756</v>
      </c>
      <c r="B91" s="38">
        <v>14.2372</v>
      </c>
      <c r="C91" s="35">
        <v>60664.6</v>
      </c>
      <c r="D91" s="17">
        <f t="shared" si="2"/>
        <v>-2.3536269999338845E-3</v>
      </c>
      <c r="E91" s="17">
        <f t="shared" si="3"/>
        <v>-2.357234148894737E-3</v>
      </c>
      <c r="F91" s="31"/>
    </row>
    <row r="92" spans="1:6">
      <c r="A92" s="12">
        <v>45758</v>
      </c>
      <c r="B92" s="37">
        <v>14.4267</v>
      </c>
      <c r="C92" s="35">
        <v>61473.55</v>
      </c>
      <c r="D92" s="17">
        <f t="shared" si="2"/>
        <v>1.3246669105808143E-2</v>
      </c>
      <c r="E92" s="17">
        <f t="shared" si="3"/>
        <v>1.3222398967203213E-2</v>
      </c>
      <c r="F92" s="31"/>
    </row>
    <row r="93" spans="1:6">
      <c r="A93" s="14">
        <v>45762</v>
      </c>
      <c r="B93" s="38">
        <v>14.8721</v>
      </c>
      <c r="C93" s="35">
        <v>63374.3</v>
      </c>
      <c r="D93" s="17">
        <f t="shared" si="2"/>
        <v>3.0451415485284624E-2</v>
      </c>
      <c r="E93" s="17">
        <f t="shared" si="3"/>
        <v>3.040631803823066E-2</v>
      </c>
      <c r="F93" s="31"/>
    </row>
    <row r="94" spans="1:6">
      <c r="A94" s="12">
        <v>45763</v>
      </c>
      <c r="B94" s="37">
        <v>14.971500000000001</v>
      </c>
      <c r="C94" s="35">
        <v>63798.55</v>
      </c>
      <c r="D94" s="17">
        <f t="shared" si="2"/>
        <v>6.6720463342932346E-3</v>
      </c>
      <c r="E94" s="17">
        <f t="shared" si="3"/>
        <v>6.6614193708916638E-3</v>
      </c>
      <c r="F94" s="31"/>
    </row>
    <row r="95" spans="1:6">
      <c r="A95" s="14">
        <v>45764</v>
      </c>
      <c r="B95" s="38">
        <v>15.0786</v>
      </c>
      <c r="C95" s="35">
        <v>64255.55</v>
      </c>
      <c r="D95" s="17">
        <f t="shared" si="2"/>
        <v>7.1376385478862693E-3</v>
      </c>
      <c r="E95" s="17">
        <f t="shared" si="3"/>
        <v>7.1281262611777325E-3</v>
      </c>
      <c r="F95" s="31"/>
    </row>
    <row r="96" spans="1:6">
      <c r="A96" s="12">
        <v>45768</v>
      </c>
      <c r="B96" s="37">
        <v>15.3482</v>
      </c>
      <c r="C96" s="35">
        <v>65406.2</v>
      </c>
      <c r="D96" s="17">
        <f t="shared" si="2"/>
        <v>1.7748953825407723E-2</v>
      </c>
      <c r="E96" s="17">
        <f t="shared" si="3"/>
        <v>1.7721683239824551E-2</v>
      </c>
      <c r="F96" s="31"/>
    </row>
    <row r="97" spans="1:6">
      <c r="A97" s="14">
        <v>45769</v>
      </c>
      <c r="B97" s="38">
        <v>15.381500000000001</v>
      </c>
      <c r="C97" s="35">
        <v>65548.399999999994</v>
      </c>
      <c r="D97" s="17">
        <f t="shared" si="2"/>
        <v>2.171745870557888E-3</v>
      </c>
      <c r="E97" s="17">
        <f t="shared" si="3"/>
        <v>2.1672852669906975E-3</v>
      </c>
      <c r="F97" s="31"/>
    </row>
    <row r="98" spans="1:6">
      <c r="A98" s="12">
        <v>45770</v>
      </c>
      <c r="B98" s="37">
        <v>15.4872</v>
      </c>
      <c r="C98" s="35">
        <v>65999.649999999994</v>
      </c>
      <c r="D98" s="17">
        <f t="shared" si="2"/>
        <v>6.8606379184607677E-3</v>
      </c>
      <c r="E98" s="17">
        <f t="shared" si="3"/>
        <v>6.8483877269958785E-3</v>
      </c>
      <c r="F98" s="31"/>
    </row>
    <row r="99" spans="1:6">
      <c r="A99" s="14">
        <v>45771</v>
      </c>
      <c r="B99" s="38">
        <v>15.463900000000001</v>
      </c>
      <c r="C99" s="35">
        <v>65900.800000000003</v>
      </c>
      <c r="D99" s="17">
        <f t="shared" si="2"/>
        <v>-1.4988579418213697E-3</v>
      </c>
      <c r="E99" s="17">
        <f t="shared" si="3"/>
        <v>-1.5056010546595556E-3</v>
      </c>
      <c r="F99" s="31"/>
    </row>
    <row r="100" spans="1:6">
      <c r="A100" s="12">
        <v>45772</v>
      </c>
      <c r="B100" s="37">
        <v>15.0916</v>
      </c>
      <c r="C100" s="35">
        <v>64314.9</v>
      </c>
      <c r="D100" s="17">
        <f t="shared" si="2"/>
        <v>-2.4359250358006273E-2</v>
      </c>
      <c r="E100" s="17">
        <f t="shared" si="3"/>
        <v>-2.4369977610255899E-2</v>
      </c>
      <c r="F100" s="31"/>
    </row>
    <row r="101" spans="1:6">
      <c r="A101" s="14">
        <v>45775</v>
      </c>
      <c r="B101" s="38">
        <v>15.2622</v>
      </c>
      <c r="C101" s="35">
        <v>65043.45</v>
      </c>
      <c r="D101" s="17">
        <f t="shared" si="2"/>
        <v>1.1264177430966076E-2</v>
      </c>
      <c r="E101" s="17">
        <f t="shared" si="3"/>
        <v>1.1240885581297776E-2</v>
      </c>
      <c r="F101" s="31"/>
    </row>
    <row r="102" spans="1:6">
      <c r="A102" s="12">
        <v>45776</v>
      </c>
      <c r="B102" s="37">
        <v>15.226599999999999</v>
      </c>
      <c r="C102" s="35">
        <v>64892.35</v>
      </c>
      <c r="D102" s="17">
        <f t="shared" si="2"/>
        <v>-2.3257650025723794E-3</v>
      </c>
      <c r="E102" s="17">
        <f t="shared" si="3"/>
        <v>-2.3352848376374529E-3</v>
      </c>
      <c r="F102" s="31"/>
    </row>
    <row r="103" spans="1:6">
      <c r="A103" s="14">
        <v>45777</v>
      </c>
      <c r="B103" s="38">
        <v>15.1365</v>
      </c>
      <c r="C103" s="35">
        <v>64508.85</v>
      </c>
      <c r="D103" s="17">
        <f t="shared" si="2"/>
        <v>-5.9273194189104301E-3</v>
      </c>
      <c r="E103" s="17">
        <f t="shared" si="3"/>
        <v>-5.9348527957914692E-3</v>
      </c>
      <c r="F103" s="31"/>
    </row>
    <row r="104" spans="1:6">
      <c r="A104" s="12">
        <v>45779</v>
      </c>
      <c r="B104" s="37">
        <v>15.1189</v>
      </c>
      <c r="C104" s="35">
        <v>64429.75</v>
      </c>
      <c r="D104" s="17">
        <f t="shared" si="2"/>
        <v>-1.2269407287342569E-3</v>
      </c>
      <c r="E104" s="17">
        <f t="shared" si="3"/>
        <v>-1.1634288084263421E-3</v>
      </c>
      <c r="F104" s="31"/>
    </row>
    <row r="105" spans="1:6">
      <c r="A105" s="14">
        <v>45782</v>
      </c>
      <c r="B105" s="38">
        <v>15.3477</v>
      </c>
      <c r="C105" s="35">
        <v>65406.85</v>
      </c>
      <c r="D105" s="17">
        <f t="shared" si="2"/>
        <v>1.5051510076475023E-2</v>
      </c>
      <c r="E105" s="17">
        <f t="shared" si="3"/>
        <v>1.502000889082108E-2</v>
      </c>
      <c r="F105" s="31"/>
    </row>
    <row r="106" spans="1:6">
      <c r="A106" s="12">
        <v>45783</v>
      </c>
      <c r="B106" s="37">
        <v>14.9764</v>
      </c>
      <c r="C106" s="35">
        <v>63824.9</v>
      </c>
      <c r="D106" s="17">
        <f t="shared" si="2"/>
        <v>-2.4483596697313249E-2</v>
      </c>
      <c r="E106" s="17">
        <f t="shared" si="3"/>
        <v>-2.4489996892694998E-2</v>
      </c>
      <c r="F106" s="31"/>
    </row>
    <row r="107" spans="1:6">
      <c r="A107" s="14">
        <v>45784</v>
      </c>
      <c r="B107" s="38">
        <v>15.0494</v>
      </c>
      <c r="C107" s="35">
        <v>64134.400000000001</v>
      </c>
      <c r="D107" s="17">
        <f t="shared" si="2"/>
        <v>4.8374850996733198E-3</v>
      </c>
      <c r="E107" s="17">
        <f t="shared" si="3"/>
        <v>4.8624945102799201E-3</v>
      </c>
      <c r="F107" s="31"/>
    </row>
    <row r="108" spans="1:6">
      <c r="A108" s="12">
        <v>45785</v>
      </c>
      <c r="B108" s="37">
        <v>14.726800000000001</v>
      </c>
      <c r="C108" s="35">
        <v>62760.25</v>
      </c>
      <c r="D108" s="17">
        <f t="shared" si="2"/>
        <v>-2.1658970155984374E-2</v>
      </c>
      <c r="E108" s="17">
        <f t="shared" si="3"/>
        <v>-2.1669160137130824E-2</v>
      </c>
      <c r="F108" s="31"/>
    </row>
    <row r="109" spans="1:6">
      <c r="A109" s="14">
        <v>45786</v>
      </c>
      <c r="B109" s="38">
        <v>14.671900000000001</v>
      </c>
      <c r="C109" s="35">
        <v>62527</v>
      </c>
      <c r="D109" s="17">
        <f t="shared" si="2"/>
        <v>-3.723447828612727E-3</v>
      </c>
      <c r="E109" s="17">
        <f t="shared" si="3"/>
        <v>-3.7348633659035663E-3</v>
      </c>
      <c r="F109" s="31"/>
    </row>
    <row r="110" spans="1:6">
      <c r="A110" s="12">
        <v>45789</v>
      </c>
      <c r="B110" s="37">
        <v>15.2704</v>
      </c>
      <c r="C110" s="35">
        <v>65078.55</v>
      </c>
      <c r="D110" s="17">
        <f t="shared" si="2"/>
        <v>3.9996538374970761E-2</v>
      </c>
      <c r="E110" s="17">
        <f t="shared" si="3"/>
        <v>3.9982214253848999E-2</v>
      </c>
      <c r="F110" s="31"/>
    </row>
    <row r="111" spans="1:6">
      <c r="A111" s="14">
        <v>45790</v>
      </c>
      <c r="B111" s="38">
        <v>15.2689</v>
      </c>
      <c r="C111" s="35">
        <v>65065.8</v>
      </c>
      <c r="D111" s="17">
        <f t="shared" si="2"/>
        <v>-1.959362821480464E-4</v>
      </c>
      <c r="E111" s="17">
        <f t="shared" si="3"/>
        <v>-9.8234078790637461E-5</v>
      </c>
      <c r="F111" s="31"/>
    </row>
    <row r="112" spans="1:6">
      <c r="A112" s="12">
        <v>45791</v>
      </c>
      <c r="B112" s="37">
        <v>15.3802</v>
      </c>
      <c r="C112" s="35">
        <v>65540.75</v>
      </c>
      <c r="D112" s="17">
        <f t="shared" si="2"/>
        <v>7.2730210484973148E-3</v>
      </c>
      <c r="E112" s="17">
        <f t="shared" si="3"/>
        <v>7.2628879315583495E-3</v>
      </c>
      <c r="F112" s="31"/>
    </row>
    <row r="113" spans="1:6">
      <c r="A113" s="14">
        <v>45792</v>
      </c>
      <c r="B113" s="38">
        <v>15.540900000000001</v>
      </c>
      <c r="C113" s="35">
        <v>66226.55</v>
      </c>
      <c r="D113" s="17">
        <f t="shared" si="2"/>
        <v>1.0409353344210986E-2</v>
      </c>
      <c r="E113" s="17">
        <f t="shared" si="3"/>
        <v>1.0394290426286002E-2</v>
      </c>
      <c r="F113" s="31"/>
    </row>
    <row r="114" spans="1:6">
      <c r="A114" s="12">
        <v>45793</v>
      </c>
      <c r="B114" s="37">
        <v>15.7409</v>
      </c>
      <c r="C114" s="35">
        <v>67078.95</v>
      </c>
      <c r="D114" s="17">
        <f t="shared" si="2"/>
        <v>1.2788843938047989E-2</v>
      </c>
      <c r="E114" s="17">
        <f t="shared" si="3"/>
        <v>1.2787162195559334E-2</v>
      </c>
      <c r="F114" s="31"/>
    </row>
    <row r="115" spans="1:6">
      <c r="A115" s="14">
        <v>45796</v>
      </c>
      <c r="B115" s="38">
        <v>15.8172</v>
      </c>
      <c r="C115" s="35">
        <v>67405.8</v>
      </c>
      <c r="D115" s="17">
        <f t="shared" si="2"/>
        <v>4.8607837475420235E-3</v>
      </c>
      <c r="E115" s="17">
        <f t="shared" si="3"/>
        <v>4.8355350083197461E-3</v>
      </c>
      <c r="F115" s="31"/>
    </row>
    <row r="116" spans="1:6">
      <c r="A116" s="12">
        <v>45797</v>
      </c>
      <c r="B116" s="37">
        <v>15.5261</v>
      </c>
      <c r="C116" s="35">
        <v>66165.5</v>
      </c>
      <c r="D116" s="17">
        <f t="shared" si="2"/>
        <v>-1.8571888566469803E-2</v>
      </c>
      <c r="E116" s="17">
        <f t="shared" si="3"/>
        <v>-1.8575476752571072E-2</v>
      </c>
      <c r="F116" s="31"/>
    </row>
    <row r="117" spans="1:6">
      <c r="A117" s="14">
        <v>45798</v>
      </c>
      <c r="B117" s="38">
        <v>15.7075</v>
      </c>
      <c r="C117" s="35">
        <v>66939.100000000006</v>
      </c>
      <c r="D117" s="17">
        <f t="shared" si="2"/>
        <v>1.1624071754917201E-2</v>
      </c>
      <c r="E117" s="17">
        <f t="shared" si="3"/>
        <v>1.1615826523252664E-2</v>
      </c>
      <c r="F117" s="31"/>
    </row>
    <row r="118" spans="1:6">
      <c r="A118" s="12">
        <v>45799</v>
      </c>
      <c r="B118" s="37">
        <v>15.655200000000001</v>
      </c>
      <c r="C118" s="35">
        <v>66716.899999999994</v>
      </c>
      <c r="D118" s="17">
        <f t="shared" si="2"/>
        <v>-3.3249566754648295E-3</v>
      </c>
      <c r="E118" s="17">
        <f t="shared" si="3"/>
        <v>-3.3351751271060866E-3</v>
      </c>
      <c r="F118" s="31"/>
    </row>
    <row r="119" spans="1:6">
      <c r="A119" s="14">
        <v>45800</v>
      </c>
      <c r="B119" s="38">
        <v>15.7478</v>
      </c>
      <c r="C119" s="35">
        <v>67095.899999999994</v>
      </c>
      <c r="D119" s="17">
        <f t="shared" si="2"/>
        <v>5.6646451378630286E-3</v>
      </c>
      <c r="E119" s="17">
        <f t="shared" si="3"/>
        <v>5.8975428075861416E-3</v>
      </c>
      <c r="F119" s="31"/>
    </row>
    <row r="120" spans="1:6">
      <c r="A120" s="12">
        <v>45803</v>
      </c>
      <c r="B120" s="37">
        <v>15.8123</v>
      </c>
      <c r="C120" s="35">
        <v>67372.3</v>
      </c>
      <c r="D120" s="17">
        <f t="shared" si="2"/>
        <v>4.1110149354785675E-3</v>
      </c>
      <c r="E120" s="17">
        <f t="shared" si="3"/>
        <v>4.0874452109607041E-3</v>
      </c>
      <c r="F120" s="31"/>
    </row>
    <row r="121" spans="1:6">
      <c r="A121" s="14">
        <v>45804</v>
      </c>
      <c r="B121" s="38">
        <v>15.769500000000001</v>
      </c>
      <c r="C121" s="35">
        <v>67190.75</v>
      </c>
      <c r="D121" s="17">
        <f t="shared" si="2"/>
        <v>-2.6983649695525515E-3</v>
      </c>
      <c r="E121" s="17">
        <f t="shared" si="3"/>
        <v>-2.7104234845474399E-3</v>
      </c>
      <c r="F121" s="31"/>
    </row>
    <row r="122" spans="1:6">
      <c r="A122" s="12">
        <v>45805</v>
      </c>
      <c r="B122" s="37">
        <v>15.723699999999999</v>
      </c>
      <c r="C122" s="35">
        <v>66996.2</v>
      </c>
      <c r="D122" s="17">
        <f t="shared" si="2"/>
        <v>-2.8996878804944904E-3</v>
      </c>
      <c r="E122" s="17">
        <f t="shared" si="3"/>
        <v>-2.9085664389821037E-3</v>
      </c>
      <c r="F122" s="31"/>
    </row>
    <row r="123" spans="1:6">
      <c r="A123" s="14">
        <v>45806</v>
      </c>
      <c r="B123" s="38">
        <v>15.7464</v>
      </c>
      <c r="C123" s="35">
        <v>67093.8</v>
      </c>
      <c r="D123" s="17">
        <f t="shared" si="2"/>
        <v>1.4557389400546479E-3</v>
      </c>
      <c r="E123" s="17">
        <f t="shared" si="3"/>
        <v>1.4426394537641642E-3</v>
      </c>
      <c r="F123" s="31"/>
    </row>
    <row r="124" spans="1:6">
      <c r="A124" s="12">
        <v>45807</v>
      </c>
      <c r="B124" s="37">
        <v>15.668200000000001</v>
      </c>
      <c r="C124" s="35">
        <v>66761.3</v>
      </c>
      <c r="D124" s="17">
        <f t="shared" si="2"/>
        <v>-4.9680689624638664E-3</v>
      </c>
      <c r="E124" s="17">
        <f t="shared" si="3"/>
        <v>-4.9785871234509851E-3</v>
      </c>
      <c r="F124" s="31"/>
    </row>
    <row r="125" spans="1:6">
      <c r="A125" s="14">
        <v>45810</v>
      </c>
      <c r="B125" s="38">
        <v>15.7332</v>
      </c>
      <c r="C125" s="35">
        <v>67039.8</v>
      </c>
      <c r="D125" s="17">
        <f t="shared" si="2"/>
        <v>4.1629015336118033E-3</v>
      </c>
      <c r="E125" s="17">
        <f t="shared" si="3"/>
        <v>4.1399487180299186E-3</v>
      </c>
      <c r="F125" s="31"/>
    </row>
    <row r="126" spans="1:6">
      <c r="A126" s="12">
        <v>45811</v>
      </c>
      <c r="B126" s="37">
        <v>15.646699999999999</v>
      </c>
      <c r="C126" s="35">
        <v>66671.8</v>
      </c>
      <c r="D126" s="17">
        <f t="shared" si="2"/>
        <v>-5.5043979602423789E-3</v>
      </c>
      <c r="E126" s="17">
        <f t="shared" si="3"/>
        <v>-5.5130971795134291E-3</v>
      </c>
      <c r="F126" s="31"/>
    </row>
    <row r="127" spans="1:6">
      <c r="A127" s="14">
        <v>45812</v>
      </c>
      <c r="B127" s="38">
        <v>15.692299999999999</v>
      </c>
      <c r="C127" s="35">
        <v>66866.600000000006</v>
      </c>
      <c r="D127" s="17">
        <f t="shared" si="2"/>
        <v>2.9175149346762587E-3</v>
      </c>
      <c r="E127" s="17">
        <f t="shared" si="3"/>
        <v>2.9101140547750154E-3</v>
      </c>
      <c r="F127" s="31"/>
    </row>
    <row r="128" spans="1:6">
      <c r="A128" s="12">
        <v>45813</v>
      </c>
      <c r="B128" s="37">
        <v>15.757999999999999</v>
      </c>
      <c r="C128" s="35">
        <v>67147.100000000006</v>
      </c>
      <c r="D128" s="17">
        <f t="shared" si="2"/>
        <v>4.1861452913991787E-3</v>
      </c>
      <c r="E128" s="17">
        <f t="shared" si="3"/>
        <v>4.1780266370152145E-3</v>
      </c>
      <c r="F128" s="31"/>
    </row>
    <row r="129" spans="1:6">
      <c r="A129" s="14">
        <v>45814</v>
      </c>
      <c r="B129" s="38">
        <v>15.9581</v>
      </c>
      <c r="C129" s="35">
        <v>67992.850000000006</v>
      </c>
      <c r="D129" s="17">
        <f t="shared" si="2"/>
        <v>1.2516817447289007E-2</v>
      </c>
      <c r="E129" s="17">
        <f t="shared" si="3"/>
        <v>1.2618364492388569E-2</v>
      </c>
      <c r="F129" s="31"/>
    </row>
    <row r="130" spans="1:6">
      <c r="A130" s="12">
        <v>45817</v>
      </c>
      <c r="B130" s="37">
        <v>16.1571</v>
      </c>
      <c r="C130" s="35">
        <v>68843.5</v>
      </c>
      <c r="D130" s="17">
        <f t="shared" si="2"/>
        <v>1.2433259995367964E-2</v>
      </c>
      <c r="E130" s="17">
        <f t="shared" si="3"/>
        <v>1.2393044227464867E-2</v>
      </c>
      <c r="F130" s="31"/>
    </row>
    <row r="131" spans="1:6">
      <c r="A131" s="14">
        <v>45818</v>
      </c>
      <c r="B131" s="38">
        <v>16.1755</v>
      </c>
      <c r="C131" s="35">
        <v>68922.55</v>
      </c>
      <c r="D131" s="17">
        <f t="shared" si="2"/>
        <v>1.1475978105724447E-3</v>
      </c>
      <c r="E131" s="17">
        <f t="shared" si="3"/>
        <v>1.1381702669336496E-3</v>
      </c>
      <c r="F131" s="31"/>
    </row>
    <row r="132" spans="1:6">
      <c r="A132" s="12">
        <v>45819</v>
      </c>
      <c r="B132" s="37">
        <v>16.14</v>
      </c>
      <c r="C132" s="35">
        <v>68771.850000000006</v>
      </c>
      <c r="D132" s="17">
        <f t="shared" ref="D132:D195" si="4">LN(C132/C131)</f>
        <v>-2.1889061598854434E-3</v>
      </c>
      <c r="E132" s="17">
        <f t="shared" ref="E132:E195" si="5">LN(B132/B131)</f>
        <v>-2.1970889684804228E-3</v>
      </c>
      <c r="F132" s="31"/>
    </row>
    <row r="133" spans="1:6">
      <c r="A133" s="14">
        <v>45820</v>
      </c>
      <c r="B133" s="38">
        <v>15.8504</v>
      </c>
      <c r="C133" s="35">
        <v>67536.5</v>
      </c>
      <c r="D133" s="17">
        <f t="shared" si="4"/>
        <v>-1.8126311763365391E-2</v>
      </c>
      <c r="E133" s="17">
        <f t="shared" si="5"/>
        <v>-1.810592624389061E-2</v>
      </c>
      <c r="F133" s="31"/>
    </row>
    <row r="134" spans="1:6">
      <c r="A134" s="12">
        <v>45821</v>
      </c>
      <c r="B134" s="37">
        <v>15.7224</v>
      </c>
      <c r="C134" s="35">
        <v>66979.05</v>
      </c>
      <c r="D134" s="17">
        <f t="shared" si="4"/>
        <v>-8.2883085444693683E-3</v>
      </c>
      <c r="E134" s="17">
        <f t="shared" si="5"/>
        <v>-8.1082894942729085E-3</v>
      </c>
      <c r="F134" s="31"/>
    </row>
    <row r="135" spans="1:6">
      <c r="A135" s="14">
        <v>45824</v>
      </c>
      <c r="B135" s="38">
        <v>15.8376</v>
      </c>
      <c r="C135" s="35">
        <v>67472.149999999994</v>
      </c>
      <c r="D135" s="17">
        <f t="shared" si="4"/>
        <v>7.3350362189841846E-3</v>
      </c>
      <c r="E135" s="17">
        <f t="shared" si="5"/>
        <v>7.3004126515451616E-3</v>
      </c>
      <c r="F135" s="31"/>
    </row>
    <row r="136" spans="1:6">
      <c r="A136" s="12">
        <v>45825</v>
      </c>
      <c r="B136" s="37">
        <v>15.726000000000001</v>
      </c>
      <c r="C136" s="35">
        <v>66996.45</v>
      </c>
      <c r="D136" s="17">
        <f t="shared" si="4"/>
        <v>-7.0752872335677237E-3</v>
      </c>
      <c r="E136" s="17">
        <f t="shared" si="5"/>
        <v>-7.0714661858601383E-3</v>
      </c>
      <c r="F136" s="31"/>
    </row>
    <row r="137" spans="1:6">
      <c r="A137" s="14">
        <v>45826</v>
      </c>
      <c r="B137" s="38">
        <v>15.677199999999999</v>
      </c>
      <c r="C137" s="35">
        <v>66788.7</v>
      </c>
      <c r="D137" s="17">
        <f t="shared" si="4"/>
        <v>-3.1057283560773424E-3</v>
      </c>
      <c r="E137" s="17">
        <f t="shared" si="5"/>
        <v>-3.1079660214099452E-3</v>
      </c>
      <c r="F137" s="31"/>
    </row>
    <row r="138" spans="1:6">
      <c r="A138" s="12">
        <v>45827</v>
      </c>
      <c r="B138" s="37">
        <v>15.4559</v>
      </c>
      <c r="C138" s="35">
        <v>65848.149999999994</v>
      </c>
      <c r="D138" s="17">
        <f t="shared" si="4"/>
        <v>-1.4182570915240132E-2</v>
      </c>
      <c r="E138" s="17">
        <f t="shared" si="5"/>
        <v>-1.4216620077978769E-2</v>
      </c>
      <c r="F138" s="31"/>
    </row>
    <row r="139" spans="1:6">
      <c r="A139" s="14">
        <v>45828</v>
      </c>
      <c r="B139" s="38">
        <v>15.666</v>
      </c>
      <c r="C139" s="35">
        <v>66733.05</v>
      </c>
      <c r="D139" s="17">
        <f t="shared" si="4"/>
        <v>1.3348998808488572E-2</v>
      </c>
      <c r="E139" s="17">
        <f t="shared" si="5"/>
        <v>1.3501951475111207E-2</v>
      </c>
      <c r="F139" s="31"/>
    </row>
    <row r="140" spans="1:6">
      <c r="A140" s="12">
        <v>45831</v>
      </c>
      <c r="B140" s="37">
        <v>15.6775</v>
      </c>
      <c r="C140" s="35">
        <v>66780.5</v>
      </c>
      <c r="D140" s="17">
        <f t="shared" si="4"/>
        <v>7.1078930936552146E-4</v>
      </c>
      <c r="E140" s="17">
        <f t="shared" si="5"/>
        <v>7.3380448999203123E-4</v>
      </c>
      <c r="F140" s="31"/>
    </row>
    <row r="141" spans="1:6">
      <c r="A141" s="14">
        <v>45832</v>
      </c>
      <c r="B141" s="38">
        <v>15.8186</v>
      </c>
      <c r="C141" s="35">
        <v>67349.350000000006</v>
      </c>
      <c r="D141" s="17">
        <f t="shared" si="4"/>
        <v>8.4821299742178155E-3</v>
      </c>
      <c r="E141" s="17">
        <f t="shared" si="5"/>
        <v>8.9598994132831875E-3</v>
      </c>
      <c r="F141" s="31"/>
    </row>
    <row r="142" spans="1:6">
      <c r="A142" s="12">
        <v>45833</v>
      </c>
      <c r="B142" s="37">
        <v>15.8934</v>
      </c>
      <c r="C142" s="35">
        <v>67669.399999999994</v>
      </c>
      <c r="D142" s="17">
        <f t="shared" si="4"/>
        <v>4.7408319131933682E-3</v>
      </c>
      <c r="E142" s="17">
        <f t="shared" si="5"/>
        <v>4.7174658627376024E-3</v>
      </c>
      <c r="F142" s="31"/>
    </row>
    <row r="143" spans="1:6">
      <c r="A143" s="14">
        <v>45834</v>
      </c>
      <c r="B143" s="38">
        <v>16.039400000000001</v>
      </c>
      <c r="C143" s="35">
        <v>68295.149999999994</v>
      </c>
      <c r="D143" s="17">
        <f t="shared" si="4"/>
        <v>9.2046701599670759E-3</v>
      </c>
      <c r="E143" s="17">
        <f t="shared" si="5"/>
        <v>9.1442665438782704E-3</v>
      </c>
      <c r="F143" s="31"/>
    </row>
    <row r="144" spans="1:6">
      <c r="A144" s="12">
        <v>45835</v>
      </c>
      <c r="B144" s="37">
        <v>16.137699999999999</v>
      </c>
      <c r="C144" s="35">
        <v>68712.399999999994</v>
      </c>
      <c r="D144" s="17">
        <f t="shared" si="4"/>
        <v>6.0909240399483113E-3</v>
      </c>
      <c r="E144" s="17">
        <f t="shared" si="5"/>
        <v>6.1099543344400225E-3</v>
      </c>
      <c r="F144" s="31"/>
    </row>
    <row r="145" spans="1:6">
      <c r="A145" s="14">
        <v>45838</v>
      </c>
      <c r="B145" s="38">
        <v>16.2056</v>
      </c>
      <c r="C145" s="35">
        <v>68998.2</v>
      </c>
      <c r="D145" s="17">
        <f t="shared" si="4"/>
        <v>4.1507394540233385E-3</v>
      </c>
      <c r="E145" s="17">
        <f t="shared" si="5"/>
        <v>4.1987119280814458E-3</v>
      </c>
      <c r="F145" s="31"/>
    </row>
    <row r="146" spans="1:6">
      <c r="A146" s="12">
        <v>45839</v>
      </c>
      <c r="B146" s="37">
        <v>16.189499999999999</v>
      </c>
      <c r="C146" s="35">
        <v>68930.2</v>
      </c>
      <c r="D146" s="17">
        <f t="shared" si="4"/>
        <v>-9.8601891284639739E-4</v>
      </c>
      <c r="E146" s="17">
        <f t="shared" si="5"/>
        <v>-9.9397756608603162E-4</v>
      </c>
      <c r="F146" s="31"/>
    </row>
    <row r="147" spans="1:6">
      <c r="A147" s="14">
        <v>45840</v>
      </c>
      <c r="B147" s="38">
        <v>16.142399999999999</v>
      </c>
      <c r="C147" s="35">
        <v>68729.8</v>
      </c>
      <c r="D147" s="17">
        <f t="shared" si="4"/>
        <v>-2.9115231957769273E-3</v>
      </c>
      <c r="E147" s="17">
        <f t="shared" si="5"/>
        <v>-2.9135332793958145E-3</v>
      </c>
      <c r="F147" s="31"/>
    </row>
    <row r="148" spans="1:6">
      <c r="A148" s="12">
        <v>45841</v>
      </c>
      <c r="B148" s="37">
        <v>16.054600000000001</v>
      </c>
      <c r="C148" s="35">
        <v>68355.850000000006</v>
      </c>
      <c r="D148" s="17">
        <f t="shared" si="4"/>
        <v>-5.4557268036434766E-3</v>
      </c>
      <c r="E148" s="17">
        <f t="shared" si="5"/>
        <v>-5.4539377977662947E-3</v>
      </c>
      <c r="F148" s="31"/>
    </row>
    <row r="149" spans="1:6">
      <c r="A149" s="14">
        <v>45842</v>
      </c>
      <c r="B149" s="38">
        <v>16.113600000000002</v>
      </c>
      <c r="C149" s="35">
        <v>68607.8</v>
      </c>
      <c r="D149" s="17">
        <f t="shared" si="4"/>
        <v>3.6790825038927753E-3</v>
      </c>
      <c r="E149" s="17">
        <f t="shared" si="5"/>
        <v>3.6682230375318791E-3</v>
      </c>
      <c r="F149" s="31"/>
    </row>
    <row r="150" spans="1:6">
      <c r="A150" s="12">
        <v>45845</v>
      </c>
      <c r="B150" s="37">
        <v>16.140899999999998</v>
      </c>
      <c r="C150" s="35">
        <v>68725.8</v>
      </c>
      <c r="D150" s="17">
        <f t="shared" si="4"/>
        <v>1.7184436880459521E-3</v>
      </c>
      <c r="E150" s="17">
        <f t="shared" si="5"/>
        <v>1.6927874571968265E-3</v>
      </c>
      <c r="F150" s="31"/>
    </row>
    <row r="151" spans="1:6">
      <c r="A151" s="14">
        <v>45846</v>
      </c>
      <c r="B151" s="38">
        <v>16.139199999999999</v>
      </c>
      <c r="C151" s="35">
        <v>68719.05</v>
      </c>
      <c r="D151" s="17">
        <f t="shared" si="4"/>
        <v>-9.8221213896739195E-5</v>
      </c>
      <c r="E151" s="17">
        <f t="shared" si="5"/>
        <v>-1.0532805050613108E-4</v>
      </c>
      <c r="F151" s="31"/>
    </row>
    <row r="152" spans="1:6">
      <c r="A152" s="12">
        <v>45847</v>
      </c>
      <c r="B152" s="37">
        <v>16.1295</v>
      </c>
      <c r="C152" s="35">
        <v>68678.149999999994</v>
      </c>
      <c r="D152" s="17">
        <f t="shared" si="4"/>
        <v>-5.9535421694303058E-4</v>
      </c>
      <c r="E152" s="17">
        <f t="shared" si="5"/>
        <v>-6.0120180188021305E-4</v>
      </c>
      <c r="F152" s="31"/>
    </row>
    <row r="153" spans="1:6">
      <c r="A153" s="14">
        <v>45848</v>
      </c>
      <c r="B153" s="38">
        <v>16.093</v>
      </c>
      <c r="C153" s="35">
        <v>68523.45</v>
      </c>
      <c r="D153" s="17">
        <f t="shared" si="4"/>
        <v>-2.2550766982149082E-3</v>
      </c>
      <c r="E153" s="17">
        <f t="shared" si="5"/>
        <v>-2.2654986801957998E-3</v>
      </c>
      <c r="F153" s="31"/>
    </row>
    <row r="154" spans="1:6">
      <c r="A154" s="12">
        <v>45849</v>
      </c>
      <c r="B154" s="37">
        <v>15.9619</v>
      </c>
      <c r="C154" s="35">
        <v>67965.55</v>
      </c>
      <c r="D154" s="17">
        <f t="shared" si="4"/>
        <v>-8.1750632961160308E-3</v>
      </c>
      <c r="E154" s="17">
        <f t="shared" si="5"/>
        <v>-8.1797622812529395E-3</v>
      </c>
      <c r="F154" s="31"/>
    </row>
    <row r="155" spans="1:6">
      <c r="A155" s="14">
        <v>45852</v>
      </c>
      <c r="B155" s="38">
        <v>16.0366</v>
      </c>
      <c r="C155" s="35">
        <v>68285.649999999994</v>
      </c>
      <c r="D155" s="17">
        <f t="shared" si="4"/>
        <v>4.6986828581371343E-3</v>
      </c>
      <c r="E155" s="17">
        <f t="shared" si="5"/>
        <v>4.6689773396191873E-3</v>
      </c>
      <c r="F155" s="31"/>
    </row>
    <row r="156" spans="1:6">
      <c r="A156" s="12">
        <v>45853</v>
      </c>
      <c r="B156" s="37">
        <v>16.1403</v>
      </c>
      <c r="C156" s="35">
        <v>68727.55</v>
      </c>
      <c r="D156" s="17">
        <f t="shared" si="4"/>
        <v>6.4504957514535197E-3</v>
      </c>
      <c r="E156" s="17">
        <f t="shared" si="5"/>
        <v>6.4456401349307505E-3</v>
      </c>
      <c r="F156" s="31"/>
    </row>
    <row r="157" spans="1:6">
      <c r="A157" s="14">
        <v>45854</v>
      </c>
      <c r="B157" s="38">
        <v>16.1737</v>
      </c>
      <c r="C157" s="35">
        <v>68870.55</v>
      </c>
      <c r="D157" s="17">
        <f t="shared" si="4"/>
        <v>2.0785178208538122E-3</v>
      </c>
      <c r="E157" s="17">
        <f t="shared" si="5"/>
        <v>2.0672161845793069E-3</v>
      </c>
      <c r="F157" s="31"/>
    </row>
    <row r="158" spans="1:6">
      <c r="A158" s="12">
        <v>45855</v>
      </c>
      <c r="B158" s="37">
        <v>16.136199999999999</v>
      </c>
      <c r="C158" s="35">
        <v>68711.45</v>
      </c>
      <c r="D158" s="17">
        <f t="shared" si="4"/>
        <v>-2.3128035777881628E-3</v>
      </c>
      <c r="E158" s="17">
        <f t="shared" si="5"/>
        <v>-2.3212709936232473E-3</v>
      </c>
      <c r="F158" s="31"/>
    </row>
    <row r="159" spans="1:6">
      <c r="A159" s="14">
        <v>45856</v>
      </c>
      <c r="B159" s="38">
        <v>16.024000000000001</v>
      </c>
      <c r="C159" s="35">
        <v>68225.149999999994</v>
      </c>
      <c r="D159" s="17">
        <f t="shared" si="4"/>
        <v>-7.1025868080907368E-3</v>
      </c>
      <c r="E159" s="17">
        <f t="shared" si="5"/>
        <v>-6.9775968570935515E-3</v>
      </c>
      <c r="F159" s="31"/>
    </row>
    <row r="160" spans="1:6">
      <c r="A160" s="12">
        <v>45859</v>
      </c>
      <c r="B160" s="37">
        <v>16.089500000000001</v>
      </c>
      <c r="C160" s="35">
        <v>68503.149999999994</v>
      </c>
      <c r="D160" s="17">
        <f t="shared" si="4"/>
        <v>4.0664644128094937E-3</v>
      </c>
      <c r="E160" s="17">
        <f t="shared" si="5"/>
        <v>4.0792869559419234E-3</v>
      </c>
      <c r="F160" s="31"/>
    </row>
    <row r="161" spans="1:6">
      <c r="A161" s="14">
        <v>45860</v>
      </c>
      <c r="B161" s="38">
        <v>16.030899999999999</v>
      </c>
      <c r="C161" s="35">
        <v>68253.899999999994</v>
      </c>
      <c r="D161" s="17">
        <f t="shared" si="4"/>
        <v>-3.6451543227222004E-3</v>
      </c>
      <c r="E161" s="17">
        <f t="shared" si="5"/>
        <v>-3.648775545419976E-3</v>
      </c>
      <c r="F161" s="31"/>
    </row>
    <row r="162" spans="1:6">
      <c r="A162" s="12">
        <v>45861</v>
      </c>
      <c r="B162" s="37">
        <v>16.058399999999999</v>
      </c>
      <c r="C162" s="35">
        <v>68363</v>
      </c>
      <c r="D162" s="17">
        <f t="shared" si="4"/>
        <v>1.5971673078855437E-3</v>
      </c>
      <c r="E162" s="17">
        <f t="shared" si="5"/>
        <v>1.713967380540735E-3</v>
      </c>
      <c r="F162" s="31"/>
    </row>
    <row r="163" spans="1:6">
      <c r="A163" s="14">
        <v>45862</v>
      </c>
      <c r="B163" s="38">
        <v>16.021999999999998</v>
      </c>
      <c r="C163" s="35">
        <v>68207.3</v>
      </c>
      <c r="D163" s="17">
        <f t="shared" si="4"/>
        <v>-2.2801453530940383E-3</v>
      </c>
      <c r="E163" s="17">
        <f t="shared" si="5"/>
        <v>-2.2692993616548075E-3</v>
      </c>
      <c r="F163" s="31"/>
    </row>
    <row r="164" spans="1:6">
      <c r="A164" s="12">
        <v>45863</v>
      </c>
      <c r="B164" s="37">
        <v>15.78</v>
      </c>
      <c r="C164" s="35">
        <v>67146.649999999994</v>
      </c>
      <c r="D164" s="17">
        <f t="shared" si="4"/>
        <v>-1.5672563829383333E-2</v>
      </c>
      <c r="E164" s="17">
        <f t="shared" si="5"/>
        <v>-1.5219462375196783E-2</v>
      </c>
      <c r="F164" s="31"/>
    </row>
    <row r="165" spans="1:6">
      <c r="A165" s="14">
        <v>45866</v>
      </c>
      <c r="B165" s="38">
        <v>15.6936</v>
      </c>
      <c r="C165" s="35">
        <v>66768.899999999994</v>
      </c>
      <c r="D165" s="17">
        <f t="shared" si="4"/>
        <v>-5.6416301455371794E-3</v>
      </c>
      <c r="E165" s="17">
        <f t="shared" si="5"/>
        <v>-5.4903294846893247E-3</v>
      </c>
      <c r="F165" s="31"/>
    </row>
    <row r="166" spans="1:6">
      <c r="A166" s="12">
        <v>45867</v>
      </c>
      <c r="B166" s="37">
        <v>15.839700000000001</v>
      </c>
      <c r="C166" s="35">
        <v>67379.199999999997</v>
      </c>
      <c r="D166" s="17">
        <f t="shared" si="4"/>
        <v>9.098961679095588E-3</v>
      </c>
      <c r="E166" s="17">
        <f t="shared" si="5"/>
        <v>9.2664608799489356E-3</v>
      </c>
      <c r="F166" s="31"/>
    </row>
    <row r="167" spans="1:6">
      <c r="A167" s="14">
        <v>45868</v>
      </c>
      <c r="B167" s="38">
        <v>15.8527</v>
      </c>
      <c r="C167" s="35">
        <v>67435.149999999994</v>
      </c>
      <c r="D167" s="17">
        <f t="shared" si="4"/>
        <v>8.3003038196202618E-4</v>
      </c>
      <c r="E167" s="17">
        <f t="shared" si="5"/>
        <v>8.2038600605305735E-4</v>
      </c>
      <c r="F167" s="31"/>
    </row>
    <row r="168" spans="1:6">
      <c r="A168" s="12">
        <v>45869</v>
      </c>
      <c r="B168" s="37">
        <v>15.779500000000001</v>
      </c>
      <c r="C168" s="35">
        <v>67096.149999999994</v>
      </c>
      <c r="D168" s="17">
        <f t="shared" si="4"/>
        <v>-5.0397300482196566E-3</v>
      </c>
      <c r="E168" s="17">
        <f t="shared" si="5"/>
        <v>-4.6282035813880289E-3</v>
      </c>
      <c r="F168" s="31"/>
    </row>
    <row r="169" spans="1:6">
      <c r="A169" s="14">
        <v>45870</v>
      </c>
      <c r="B169" s="38">
        <v>15.5733</v>
      </c>
      <c r="C169" s="35">
        <v>66192.800000000003</v>
      </c>
      <c r="D169" s="17">
        <f t="shared" si="4"/>
        <v>-1.3554969583614672E-2</v>
      </c>
      <c r="E169" s="17">
        <f t="shared" si="5"/>
        <v>-1.3153719799040691E-2</v>
      </c>
      <c r="F169" s="31"/>
    </row>
    <row r="170" spans="1:6">
      <c r="A170" s="12">
        <v>45873</v>
      </c>
      <c r="B170" s="37">
        <v>15.7509</v>
      </c>
      <c r="C170" s="35">
        <v>66917.5</v>
      </c>
      <c r="D170" s="17">
        <f t="shared" si="4"/>
        <v>1.0888821682629068E-2</v>
      </c>
      <c r="E170" s="17">
        <f t="shared" si="5"/>
        <v>1.1339597057581665E-2</v>
      </c>
      <c r="F170" s="31"/>
    </row>
    <row r="171" spans="1:6">
      <c r="A171" s="14">
        <v>45874</v>
      </c>
      <c r="B171" s="38">
        <v>15.7164</v>
      </c>
      <c r="C171" s="35">
        <v>66762.05</v>
      </c>
      <c r="D171" s="17">
        <f t="shared" si="4"/>
        <v>-2.3257120489746873E-3</v>
      </c>
      <c r="E171" s="17">
        <f t="shared" si="5"/>
        <v>-2.1927533549735002E-3</v>
      </c>
      <c r="F171" s="31"/>
    </row>
    <row r="172" spans="1:6">
      <c r="A172" s="12">
        <v>45875</v>
      </c>
      <c r="B172" s="37">
        <v>15.5799</v>
      </c>
      <c r="C172" s="35">
        <v>66181.350000000006</v>
      </c>
      <c r="D172" s="17">
        <f t="shared" si="4"/>
        <v>-8.736104134900299E-3</v>
      </c>
      <c r="E172" s="17">
        <f t="shared" si="5"/>
        <v>-8.7231312044543166E-3</v>
      </c>
      <c r="F172" s="31"/>
    </row>
    <row r="173" spans="1:6">
      <c r="A173" s="14">
        <v>45876</v>
      </c>
      <c r="B173" s="38">
        <v>15.6165</v>
      </c>
      <c r="C173" s="35">
        <v>66338.100000000006</v>
      </c>
      <c r="D173" s="17">
        <f t="shared" si="4"/>
        <v>2.3656915736404113E-3</v>
      </c>
      <c r="E173" s="17">
        <f t="shared" si="5"/>
        <v>2.3464256640140556E-3</v>
      </c>
      <c r="F173" s="31"/>
    </row>
    <row r="174" spans="1:6">
      <c r="A174" s="12">
        <v>45877</v>
      </c>
      <c r="B174" s="37">
        <v>15.423500000000001</v>
      </c>
      <c r="C174" s="35">
        <v>65514.7</v>
      </c>
      <c r="D174" s="17">
        <f t="shared" si="4"/>
        <v>-1.2489847829067162E-2</v>
      </c>
      <c r="E174" s="17">
        <f t="shared" si="5"/>
        <v>-1.2435727270481279E-2</v>
      </c>
      <c r="F174" s="31"/>
    </row>
    <row r="175" spans="1:6">
      <c r="A175" s="14">
        <v>45880</v>
      </c>
      <c r="B175" s="38">
        <v>15.6038</v>
      </c>
      <c r="C175" s="35">
        <v>66283.95</v>
      </c>
      <c r="D175" s="17">
        <f t="shared" si="4"/>
        <v>1.167324149536692E-2</v>
      </c>
      <c r="E175" s="17">
        <f t="shared" si="5"/>
        <v>1.1622154005617426E-2</v>
      </c>
      <c r="F175" s="31"/>
    </row>
    <row r="176" spans="1:6">
      <c r="A176" s="12">
        <v>45881</v>
      </c>
      <c r="B176" s="37">
        <v>15.589499999999999</v>
      </c>
      <c r="C176" s="35">
        <v>66223.899999999994</v>
      </c>
      <c r="D176" s="17">
        <f t="shared" si="4"/>
        <v>-9.0636145874949852E-4</v>
      </c>
      <c r="E176" s="17">
        <f t="shared" si="5"/>
        <v>-9.1686362146758775E-4</v>
      </c>
      <c r="F176" s="31"/>
    </row>
    <row r="177" spans="1:6">
      <c r="A177" s="14">
        <v>45882</v>
      </c>
      <c r="B177" s="38">
        <v>15.6867</v>
      </c>
      <c r="C177" s="35">
        <v>66622.25</v>
      </c>
      <c r="D177" s="17">
        <f t="shared" si="4"/>
        <v>5.9971808581061751E-3</v>
      </c>
      <c r="E177" s="17">
        <f t="shared" si="5"/>
        <v>6.2156088612763637E-3</v>
      </c>
      <c r="F177" s="31"/>
    </row>
    <row r="178" spans="1:6">
      <c r="A178" s="12">
        <v>45883</v>
      </c>
      <c r="B178" s="37">
        <v>15.662800000000001</v>
      </c>
      <c r="C178" s="35">
        <v>66511.600000000006</v>
      </c>
      <c r="D178" s="17">
        <f t="shared" si="4"/>
        <v>-1.6622372969377817E-3</v>
      </c>
      <c r="E178" s="17">
        <f t="shared" si="5"/>
        <v>-1.5247455066474984E-3</v>
      </c>
      <c r="F178" s="31"/>
    </row>
    <row r="179" spans="1:6">
      <c r="A179" s="14">
        <v>45887</v>
      </c>
      <c r="B179" s="38">
        <v>15.8744</v>
      </c>
      <c r="C179" s="35">
        <v>67399.600000000006</v>
      </c>
      <c r="D179" s="17">
        <f t="shared" si="4"/>
        <v>1.3262714642721777E-2</v>
      </c>
      <c r="E179" s="17">
        <f t="shared" si="5"/>
        <v>1.3419274719827595E-2</v>
      </c>
      <c r="F179" s="31"/>
    </row>
    <row r="180" spans="1:6">
      <c r="A180" s="12">
        <v>45888</v>
      </c>
      <c r="B180" s="37">
        <v>15.993499999999999</v>
      </c>
      <c r="C180" s="35">
        <v>67907.45</v>
      </c>
      <c r="D180" s="17">
        <f t="shared" si="4"/>
        <v>7.5066655400125755E-3</v>
      </c>
      <c r="E180" s="17">
        <f t="shared" si="5"/>
        <v>7.4746409089886806E-3</v>
      </c>
      <c r="F180" s="31"/>
    </row>
    <row r="181" spans="1:6">
      <c r="A181" s="14">
        <v>45889</v>
      </c>
      <c r="B181" s="38">
        <v>16.053699999999999</v>
      </c>
      <c r="C181" s="35">
        <v>68164.3</v>
      </c>
      <c r="D181" s="17">
        <f t="shared" si="4"/>
        <v>3.7752186630659757E-3</v>
      </c>
      <c r="E181" s="17">
        <f t="shared" si="5"/>
        <v>3.756962905282245E-3</v>
      </c>
      <c r="F181" s="31"/>
    </row>
    <row r="182" spans="1:6">
      <c r="A182" s="12">
        <v>45890</v>
      </c>
      <c r="B182" s="37">
        <v>16.0105</v>
      </c>
      <c r="C182" s="35">
        <v>67972.649999999994</v>
      </c>
      <c r="D182" s="17">
        <f t="shared" si="4"/>
        <v>-2.8155489983555412E-3</v>
      </c>
      <c r="E182" s="17">
        <f t="shared" si="5"/>
        <v>-2.6945956012649252E-3</v>
      </c>
      <c r="F182" s="31"/>
    </row>
    <row r="183" spans="1:6">
      <c r="A183" s="14">
        <v>45891</v>
      </c>
      <c r="B183" s="38">
        <v>15.91</v>
      </c>
      <c r="C183" s="35">
        <v>67540.100000000006</v>
      </c>
      <c r="D183" s="17">
        <f t="shared" si="4"/>
        <v>-6.3839228268609202E-3</v>
      </c>
      <c r="E183" s="17">
        <f t="shared" si="5"/>
        <v>-6.2969146522158714E-3</v>
      </c>
      <c r="F183" s="31"/>
    </row>
    <row r="184" spans="1:6">
      <c r="A184" s="12">
        <v>45894</v>
      </c>
      <c r="B184" s="37">
        <v>15.956300000000001</v>
      </c>
      <c r="C184" s="35">
        <v>67711.350000000006</v>
      </c>
      <c r="D184" s="17">
        <f t="shared" si="4"/>
        <v>2.5323217091409852E-3</v>
      </c>
      <c r="E184" s="17">
        <f t="shared" si="5"/>
        <v>2.9058932214027691E-3</v>
      </c>
      <c r="F184" s="31"/>
    </row>
    <row r="185" spans="1:6">
      <c r="A185" s="14">
        <v>45895</v>
      </c>
      <c r="B185" s="38">
        <v>15.7423</v>
      </c>
      <c r="C185" s="35">
        <v>66800.350000000006</v>
      </c>
      <c r="D185" s="17">
        <f t="shared" si="4"/>
        <v>-1.354549721972103E-2</v>
      </c>
      <c r="E185" s="17">
        <f t="shared" si="5"/>
        <v>-1.3502378733482437E-2</v>
      </c>
      <c r="F185" s="31"/>
    </row>
    <row r="186" spans="1:6">
      <c r="A186" s="12">
        <v>45897</v>
      </c>
      <c r="B186" s="37">
        <v>15.540100000000001</v>
      </c>
      <c r="C186" s="35">
        <v>65940.3</v>
      </c>
      <c r="D186" s="17">
        <f t="shared" si="4"/>
        <v>-1.2958532826059445E-2</v>
      </c>
      <c r="E186" s="17">
        <f t="shared" si="5"/>
        <v>-1.2927576912384045E-2</v>
      </c>
      <c r="F186" s="31"/>
    </row>
    <row r="187" spans="1:6">
      <c r="A187" s="14">
        <v>45898</v>
      </c>
      <c r="B187" s="38">
        <v>15.4945</v>
      </c>
      <c r="C187" s="35">
        <v>65745.75</v>
      </c>
      <c r="D187" s="17">
        <f t="shared" si="4"/>
        <v>-2.9547570383447138E-3</v>
      </c>
      <c r="E187" s="17">
        <f t="shared" si="5"/>
        <v>-2.9386576798598974E-3</v>
      </c>
      <c r="F187" s="31"/>
    </row>
    <row r="188" spans="1:6">
      <c r="A188" s="12">
        <v>45901</v>
      </c>
      <c r="B188" s="37">
        <v>15.7111</v>
      </c>
      <c r="C188" s="35">
        <v>66670.149999999994</v>
      </c>
      <c r="D188" s="17">
        <f t="shared" si="4"/>
        <v>1.3962296329515404E-2</v>
      </c>
      <c r="E188" s="17">
        <f t="shared" si="5"/>
        <v>1.3882346667052414E-2</v>
      </c>
      <c r="F188" s="31"/>
    </row>
    <row r="189" spans="1:6">
      <c r="A189" s="14">
        <v>45902</v>
      </c>
      <c r="B189" s="38">
        <v>15.7926</v>
      </c>
      <c r="C189" s="35">
        <v>67017.75</v>
      </c>
      <c r="D189" s="17">
        <f t="shared" si="4"/>
        <v>5.2001831626273488E-3</v>
      </c>
      <c r="E189" s="17">
        <f t="shared" si="5"/>
        <v>5.174006977923187E-3</v>
      </c>
      <c r="F189" s="31"/>
    </row>
    <row r="190" spans="1:6">
      <c r="A190" s="12">
        <v>45903</v>
      </c>
      <c r="B190" s="37">
        <v>15.8971</v>
      </c>
      <c r="C190" s="35">
        <v>67463.05</v>
      </c>
      <c r="D190" s="17">
        <f t="shared" si="4"/>
        <v>6.6225309113713549E-3</v>
      </c>
      <c r="E190" s="17">
        <f t="shared" si="5"/>
        <v>6.5952267636639611E-3</v>
      </c>
      <c r="F190" s="31"/>
    </row>
    <row r="191" spans="1:6">
      <c r="A191" s="14">
        <v>45904</v>
      </c>
      <c r="B191" s="38">
        <v>15.8238</v>
      </c>
      <c r="C191" s="35">
        <v>67151.55</v>
      </c>
      <c r="D191" s="17">
        <f t="shared" si="4"/>
        <v>-4.6280352353135828E-3</v>
      </c>
      <c r="E191" s="17">
        <f t="shared" si="5"/>
        <v>-4.6215668828510567E-3</v>
      </c>
      <c r="F191" s="31"/>
    </row>
    <row r="192" spans="1:6">
      <c r="A192" s="12">
        <v>45905</v>
      </c>
      <c r="B192" s="37">
        <v>15.809100000000001</v>
      </c>
      <c r="C192" s="35">
        <v>67089.8</v>
      </c>
      <c r="D192" s="17">
        <f t="shared" si="4"/>
        <v>-9.1998485347903082E-4</v>
      </c>
      <c r="E192" s="17">
        <f t="shared" si="5"/>
        <v>-9.2941216633080103E-4</v>
      </c>
      <c r="F192" s="31"/>
    </row>
    <row r="193" spans="1:6">
      <c r="A193" s="14">
        <v>45908</v>
      </c>
      <c r="B193" s="38">
        <v>15.873699999999999</v>
      </c>
      <c r="C193" s="35">
        <v>67366.05</v>
      </c>
      <c r="D193" s="17">
        <f t="shared" si="4"/>
        <v>4.1091613152037442E-3</v>
      </c>
      <c r="E193" s="17">
        <f t="shared" si="5"/>
        <v>4.0779280569963492E-3</v>
      </c>
      <c r="F193" s="31"/>
    </row>
    <row r="194" spans="1:6">
      <c r="A194" s="12">
        <v>45909</v>
      </c>
      <c r="B194" s="37">
        <v>15.895799999999999</v>
      </c>
      <c r="C194" s="35">
        <v>67460.75</v>
      </c>
      <c r="D194" s="17">
        <f t="shared" si="4"/>
        <v>1.4047654557276434E-3</v>
      </c>
      <c r="E194" s="17">
        <f t="shared" si="5"/>
        <v>1.391271726958031E-3</v>
      </c>
      <c r="F194" s="31"/>
    </row>
    <row r="195" spans="1:6">
      <c r="A195" s="14">
        <v>45910</v>
      </c>
      <c r="B195" s="38">
        <v>15.964600000000001</v>
      </c>
      <c r="C195" s="35">
        <v>67753.8</v>
      </c>
      <c r="D195" s="17">
        <f t="shared" si="4"/>
        <v>4.3345994767109829E-3</v>
      </c>
      <c r="E195" s="17">
        <f t="shared" si="5"/>
        <v>4.3188476566930981E-3</v>
      </c>
      <c r="F195" s="31"/>
    </row>
    <row r="196" spans="1:6">
      <c r="A196" s="12">
        <v>45911</v>
      </c>
      <c r="B196" s="37">
        <v>16.016500000000001</v>
      </c>
      <c r="C196" s="35">
        <v>67974.7</v>
      </c>
      <c r="D196" s="17">
        <f t="shared" ref="D196:D248" si="6">LN(C196/C195)</f>
        <v>3.2550303737291834E-3</v>
      </c>
      <c r="E196" s="17">
        <f t="shared" ref="E196:E248" si="7">LN(B196/B195)</f>
        <v>3.2456698213102131E-3</v>
      </c>
      <c r="F196" s="31"/>
    </row>
    <row r="197" spans="1:6">
      <c r="A197" s="14">
        <v>45912</v>
      </c>
      <c r="B197" s="38">
        <v>16.068000000000001</v>
      </c>
      <c r="C197" s="35">
        <v>68194</v>
      </c>
      <c r="D197" s="17">
        <f t="shared" si="6"/>
        <v>3.2210073181436942E-3</v>
      </c>
      <c r="E197" s="17">
        <f t="shared" si="7"/>
        <v>3.2102756302481894E-3</v>
      </c>
      <c r="F197" s="31"/>
    </row>
    <row r="198" spans="1:6">
      <c r="A198" s="12">
        <v>45915</v>
      </c>
      <c r="B198" s="37">
        <v>16.163900000000002</v>
      </c>
      <c r="C198" s="35">
        <v>68603.149999999994</v>
      </c>
      <c r="D198" s="17">
        <f t="shared" si="6"/>
        <v>5.9818676053062913E-3</v>
      </c>
      <c r="E198" s="17">
        <f t="shared" si="7"/>
        <v>5.9506441125761478E-3</v>
      </c>
      <c r="F198" s="31"/>
    </row>
    <row r="199" spans="1:6">
      <c r="A199" s="14">
        <v>45916</v>
      </c>
      <c r="B199" s="38">
        <v>16.257400000000001</v>
      </c>
      <c r="C199" s="35">
        <v>69000.75</v>
      </c>
      <c r="D199" s="17">
        <f t="shared" si="6"/>
        <v>5.7789220584331356E-3</v>
      </c>
      <c r="E199" s="17">
        <f t="shared" si="7"/>
        <v>5.7678291254128463E-3</v>
      </c>
      <c r="F199" s="31"/>
    </row>
    <row r="200" spans="1:6">
      <c r="A200" s="12">
        <v>45917</v>
      </c>
      <c r="B200" s="37">
        <v>16.291699999999999</v>
      </c>
      <c r="C200" s="35">
        <v>69147.100000000006</v>
      </c>
      <c r="D200" s="17">
        <f t="shared" si="6"/>
        <v>2.1187453116077635E-3</v>
      </c>
      <c r="E200" s="17">
        <f t="shared" si="7"/>
        <v>2.1075859361076041E-3</v>
      </c>
      <c r="F200" s="31"/>
    </row>
    <row r="201" spans="1:6">
      <c r="A201" s="14">
        <v>45918</v>
      </c>
      <c r="B201" s="38">
        <v>16.335699999999999</v>
      </c>
      <c r="C201" s="35">
        <v>69334.3</v>
      </c>
      <c r="D201" s="17">
        <f t="shared" si="6"/>
        <v>2.7036138286962537E-3</v>
      </c>
      <c r="E201" s="17">
        <f t="shared" si="7"/>
        <v>2.6971212338725496E-3</v>
      </c>
      <c r="F201" s="31"/>
    </row>
    <row r="202" spans="1:6">
      <c r="A202" s="12">
        <v>45919</v>
      </c>
      <c r="B202" s="37">
        <v>16.430299999999999</v>
      </c>
      <c r="C202" s="35">
        <v>69736.600000000006</v>
      </c>
      <c r="D202" s="17">
        <f t="shared" si="6"/>
        <v>5.7855543060351877E-3</v>
      </c>
      <c r="E202" s="17">
        <f t="shared" si="7"/>
        <v>5.7742942592744493E-3</v>
      </c>
      <c r="F202" s="31"/>
    </row>
    <row r="203" spans="1:6">
      <c r="A203" s="14">
        <v>45922</v>
      </c>
      <c r="B203" s="38">
        <v>16.484999999999999</v>
      </c>
      <c r="C203" s="35">
        <v>69962.3</v>
      </c>
      <c r="D203" s="17">
        <f t="shared" si="6"/>
        <v>3.2312379893595284E-3</v>
      </c>
      <c r="E203" s="17">
        <f t="shared" si="7"/>
        <v>3.3236853594147842E-3</v>
      </c>
      <c r="F203" s="31"/>
    </row>
    <row r="204" spans="1:6">
      <c r="A204" s="12">
        <v>45923</v>
      </c>
      <c r="B204" s="37">
        <v>16.409800000000001</v>
      </c>
      <c r="C204" s="35">
        <v>69643.399999999994</v>
      </c>
      <c r="D204" s="17">
        <f t="shared" si="6"/>
        <v>-4.5685893150987384E-3</v>
      </c>
      <c r="E204" s="17">
        <f t="shared" si="7"/>
        <v>-4.5721591863979866E-3</v>
      </c>
      <c r="F204" s="31"/>
    </row>
    <row r="205" spans="1:6">
      <c r="A205" s="14">
        <v>45924</v>
      </c>
      <c r="B205" s="38">
        <v>16.213000000000001</v>
      </c>
      <c r="C205" s="35">
        <v>68808.2</v>
      </c>
      <c r="D205" s="17">
        <f t="shared" si="6"/>
        <v>-1.2065012340286417E-2</v>
      </c>
      <c r="E205" s="17">
        <f t="shared" si="7"/>
        <v>-1.2065327769364287E-2</v>
      </c>
      <c r="F205" s="31"/>
    </row>
    <row r="206" spans="1:6">
      <c r="A206" s="12">
        <v>45925</v>
      </c>
      <c r="B206" s="37">
        <v>16.091699999999999</v>
      </c>
      <c r="C206" s="35">
        <v>68293.649999999994</v>
      </c>
      <c r="D206" s="17">
        <f t="shared" si="6"/>
        <v>-7.5061338107058244E-3</v>
      </c>
      <c r="E206" s="17">
        <f t="shared" si="7"/>
        <v>-7.5097784580473751E-3</v>
      </c>
      <c r="F206" s="31"/>
    </row>
    <row r="207" spans="1:6">
      <c r="A207" s="14">
        <v>45926</v>
      </c>
      <c r="B207" s="38">
        <v>15.821</v>
      </c>
      <c r="C207" s="35">
        <v>67144.95</v>
      </c>
      <c r="D207" s="17">
        <f t="shared" si="6"/>
        <v>-1.6963074697235212E-2</v>
      </c>
      <c r="E207" s="17">
        <f t="shared" si="7"/>
        <v>-1.6965439642957995E-2</v>
      </c>
      <c r="F207" s="31"/>
    </row>
    <row r="208" spans="1:6">
      <c r="A208" s="12">
        <v>45929</v>
      </c>
      <c r="B208" s="37">
        <v>15.9801</v>
      </c>
      <c r="C208" s="35">
        <v>67835.100000000006</v>
      </c>
      <c r="D208" s="17">
        <f t="shared" si="6"/>
        <v>1.0226044725663368E-2</v>
      </c>
      <c r="E208" s="17">
        <f t="shared" si="7"/>
        <v>1.0006026673899628E-2</v>
      </c>
      <c r="F208" s="31"/>
    </row>
    <row r="209" spans="1:6">
      <c r="A209" s="14">
        <v>45930</v>
      </c>
      <c r="B209" s="38">
        <v>15.982100000000001</v>
      </c>
      <c r="C209" s="35">
        <v>67845.149999999994</v>
      </c>
      <c r="D209" s="17">
        <f t="shared" si="6"/>
        <v>1.4814241598701375E-4</v>
      </c>
      <c r="E209" s="17">
        <f t="shared" si="7"/>
        <v>1.2514783103866444E-4</v>
      </c>
      <c r="F209" s="31"/>
    </row>
    <row r="210" spans="1:6">
      <c r="A210" s="12">
        <v>45931</v>
      </c>
      <c r="B210" s="37">
        <v>16.039100000000001</v>
      </c>
      <c r="C210" s="35">
        <v>68087.3</v>
      </c>
      <c r="D210" s="17">
        <f t="shared" si="6"/>
        <v>3.5628027913201495E-3</v>
      </c>
      <c r="E210" s="17">
        <f t="shared" si="7"/>
        <v>3.5601451666082392E-3</v>
      </c>
      <c r="F210" s="31"/>
    </row>
    <row r="211" spans="1:6">
      <c r="A211" s="14">
        <v>45933</v>
      </c>
      <c r="B211" s="38">
        <v>16.1021</v>
      </c>
      <c r="C211" s="35">
        <v>68355.899999999994</v>
      </c>
      <c r="D211" s="17">
        <f t="shared" si="6"/>
        <v>3.937174545475969E-3</v>
      </c>
      <c r="E211" s="17">
        <f t="shared" si="7"/>
        <v>3.9202071286761619E-3</v>
      </c>
      <c r="F211" s="31"/>
    </row>
    <row r="212" spans="1:6">
      <c r="A212" s="12">
        <v>45936</v>
      </c>
      <c r="B212" s="37">
        <v>16.1569</v>
      </c>
      <c r="C212" s="35">
        <v>68590.25</v>
      </c>
      <c r="D212" s="17">
        <f t="shared" si="6"/>
        <v>3.4225164965526124E-3</v>
      </c>
      <c r="E212" s="17">
        <f t="shared" si="7"/>
        <v>3.3975047405808674E-3</v>
      </c>
      <c r="F212" s="31"/>
    </row>
    <row r="213" spans="1:6">
      <c r="A213" s="14">
        <v>45937</v>
      </c>
      <c r="B213" s="38">
        <v>16.175899999999999</v>
      </c>
      <c r="C213" s="35">
        <v>68671.199999999997</v>
      </c>
      <c r="D213" s="17">
        <f t="shared" si="6"/>
        <v>1.1795010089862058E-3</v>
      </c>
      <c r="E213" s="17">
        <f t="shared" si="7"/>
        <v>1.1752772532548606E-3</v>
      </c>
      <c r="F213" s="31"/>
    </row>
    <row r="214" spans="1:6">
      <c r="A214" s="12">
        <v>45938</v>
      </c>
      <c r="B214" s="37">
        <v>16.050699999999999</v>
      </c>
      <c r="C214" s="35">
        <v>68139.95</v>
      </c>
      <c r="D214" s="17">
        <f t="shared" si="6"/>
        <v>-7.7662189105971507E-3</v>
      </c>
      <c r="E214" s="17">
        <f t="shared" si="7"/>
        <v>-7.7700179288452895E-3</v>
      </c>
      <c r="F214" s="31"/>
    </row>
    <row r="215" spans="1:6">
      <c r="A215" s="14">
        <v>45939</v>
      </c>
      <c r="B215" s="38">
        <v>16.1401</v>
      </c>
      <c r="C215" s="35">
        <v>68520.25</v>
      </c>
      <c r="D215" s="17">
        <f t="shared" si="6"/>
        <v>5.5656435698595991E-3</v>
      </c>
      <c r="E215" s="17">
        <f t="shared" si="7"/>
        <v>5.5543962773339627E-3</v>
      </c>
      <c r="F215" s="31"/>
    </row>
    <row r="216" spans="1:6">
      <c r="A216" s="12">
        <v>45940</v>
      </c>
      <c r="B216" s="37">
        <v>16.179300000000001</v>
      </c>
      <c r="C216" s="35">
        <v>68687.25</v>
      </c>
      <c r="D216" s="17">
        <f t="shared" si="6"/>
        <v>2.4342704657632453E-3</v>
      </c>
      <c r="E216" s="17">
        <f t="shared" si="7"/>
        <v>2.4257887969788361E-3</v>
      </c>
      <c r="F216" s="31"/>
    </row>
    <row r="217" spans="1:6">
      <c r="A217" s="14">
        <v>45943</v>
      </c>
      <c r="B217" s="38">
        <v>16.151299999999999</v>
      </c>
      <c r="C217" s="35">
        <v>68569.649999999994</v>
      </c>
      <c r="D217" s="17">
        <f t="shared" si="6"/>
        <v>-1.7135754745465611E-3</v>
      </c>
      <c r="E217" s="17">
        <f t="shared" si="7"/>
        <v>-1.7321056213274242E-3</v>
      </c>
      <c r="F217" s="31"/>
    </row>
    <row r="218" spans="1:6">
      <c r="A218" s="12">
        <v>45944</v>
      </c>
      <c r="B218" s="37">
        <v>16.065999999999999</v>
      </c>
      <c r="C218" s="35">
        <v>68207.850000000006</v>
      </c>
      <c r="D218" s="17">
        <f t="shared" si="6"/>
        <v>-5.2903561453283175E-3</v>
      </c>
      <c r="E218" s="17">
        <f t="shared" si="7"/>
        <v>-5.2953040335046477E-3</v>
      </c>
      <c r="F218" s="31"/>
    </row>
    <row r="219" spans="1:6">
      <c r="A219" s="14">
        <v>45945</v>
      </c>
      <c r="B219" s="38">
        <v>16.2791</v>
      </c>
      <c r="C219" s="35">
        <v>69113.55</v>
      </c>
      <c r="D219" s="17">
        <f t="shared" si="6"/>
        <v>1.3191143304459701E-2</v>
      </c>
      <c r="E219" s="17">
        <f t="shared" si="7"/>
        <v>1.3176838739354185E-2</v>
      </c>
      <c r="F219" s="31"/>
    </row>
    <row r="220" spans="1:6">
      <c r="A220" s="12">
        <v>45946</v>
      </c>
      <c r="B220" s="37">
        <v>16.359000000000002</v>
      </c>
      <c r="C220" s="35">
        <v>69453.2</v>
      </c>
      <c r="D220" s="17">
        <f t="shared" si="6"/>
        <v>4.9023402833949827E-3</v>
      </c>
      <c r="E220" s="17">
        <f t="shared" si="7"/>
        <v>4.8961281210593245E-3</v>
      </c>
      <c r="F220" s="31"/>
    </row>
    <row r="221" spans="1:6">
      <c r="A221" s="14">
        <v>45947</v>
      </c>
      <c r="B221" s="38">
        <v>16.335999999999999</v>
      </c>
      <c r="C221" s="35">
        <v>69356.05</v>
      </c>
      <c r="D221" s="17">
        <f t="shared" si="6"/>
        <v>-1.399762852438849E-3</v>
      </c>
      <c r="E221" s="17">
        <f t="shared" si="7"/>
        <v>-1.4069431897246311E-3</v>
      </c>
      <c r="F221" s="31"/>
    </row>
    <row r="222" spans="1:6">
      <c r="A222" s="12">
        <v>45950</v>
      </c>
      <c r="B222" s="37">
        <v>16.357800000000001</v>
      </c>
      <c r="C222" s="35">
        <v>69450.350000000006</v>
      </c>
      <c r="D222" s="17">
        <f t="shared" si="6"/>
        <v>1.3587271841584037E-3</v>
      </c>
      <c r="E222" s="17">
        <f t="shared" si="7"/>
        <v>1.3335863821798903E-3</v>
      </c>
      <c r="F222" s="31"/>
    </row>
    <row r="223" spans="1:6">
      <c r="A223" s="14">
        <v>45953</v>
      </c>
      <c r="B223" s="38">
        <v>16.354900000000001</v>
      </c>
      <c r="C223" s="35">
        <v>69434.350000000006</v>
      </c>
      <c r="D223" s="17">
        <f t="shared" si="6"/>
        <v>-2.3040695009285281E-4</v>
      </c>
      <c r="E223" s="17">
        <f t="shared" si="7"/>
        <v>-1.7730117095789209E-4</v>
      </c>
      <c r="F223" s="31"/>
    </row>
    <row r="224" spans="1:6">
      <c r="A224" s="12">
        <v>45954</v>
      </c>
      <c r="B224" s="37">
        <v>16.338999999999999</v>
      </c>
      <c r="C224" s="35">
        <v>69355.899999999994</v>
      </c>
      <c r="D224" s="17">
        <f t="shared" si="6"/>
        <v>-1.1304829893293619E-3</v>
      </c>
      <c r="E224" s="17">
        <f t="shared" si="7"/>
        <v>-9.7265858484532706E-4</v>
      </c>
      <c r="F224" s="31"/>
    </row>
    <row r="225" spans="1:6">
      <c r="A225" s="14">
        <v>45957</v>
      </c>
      <c r="B225" s="38">
        <v>16.403099999999998</v>
      </c>
      <c r="C225" s="35">
        <v>69612.2</v>
      </c>
      <c r="D225" s="17">
        <f t="shared" si="6"/>
        <v>3.688620490598015E-3</v>
      </c>
      <c r="E225" s="17">
        <f t="shared" si="7"/>
        <v>3.9154533088510144E-3</v>
      </c>
      <c r="F225" s="31"/>
    </row>
    <row r="226" spans="1:6">
      <c r="A226" s="12">
        <v>45958</v>
      </c>
      <c r="B226" s="37">
        <v>16.319600000000001</v>
      </c>
      <c r="C226" s="35">
        <v>69258.25</v>
      </c>
      <c r="D226" s="17">
        <f t="shared" si="6"/>
        <v>-5.0975677900476956E-3</v>
      </c>
      <c r="E226" s="17">
        <f t="shared" si="7"/>
        <v>-5.1035019258681312E-3</v>
      </c>
      <c r="F226" s="31"/>
    </row>
    <row r="227" spans="1:6">
      <c r="A227" s="14">
        <v>45959</v>
      </c>
      <c r="B227" s="38">
        <v>16.5503</v>
      </c>
      <c r="C227" s="35">
        <v>70238.45</v>
      </c>
      <c r="D227" s="17">
        <f t="shared" si="6"/>
        <v>1.4053610339584938E-2</v>
      </c>
      <c r="E227" s="17">
        <f t="shared" si="7"/>
        <v>1.4037389115329979E-2</v>
      </c>
      <c r="F227" s="31"/>
    </row>
    <row r="228" spans="1:6">
      <c r="A228" s="12">
        <v>45960</v>
      </c>
      <c r="B228" s="37">
        <v>16.513500000000001</v>
      </c>
      <c r="C228" s="35">
        <v>70082.55</v>
      </c>
      <c r="D228" s="17">
        <f t="shared" si="6"/>
        <v>-2.2220489327522005E-3</v>
      </c>
      <c r="E228" s="17">
        <f t="shared" si="7"/>
        <v>-2.2260003505689078E-3</v>
      </c>
      <c r="F228" s="31"/>
    </row>
    <row r="229" spans="1:6">
      <c r="A229" s="14">
        <v>45961</v>
      </c>
      <c r="B229" s="38">
        <v>16.4527</v>
      </c>
      <c r="C229" s="35">
        <v>69824.75</v>
      </c>
      <c r="D229" s="17">
        <f t="shared" si="6"/>
        <v>-3.6853015071364129E-3</v>
      </c>
      <c r="E229" s="17">
        <f t="shared" si="7"/>
        <v>-3.6886307149161788E-3</v>
      </c>
      <c r="F229" s="31"/>
    </row>
    <row r="230" spans="1:6">
      <c r="A230" s="12">
        <v>45964</v>
      </c>
      <c r="B230" s="37">
        <v>16.6082</v>
      </c>
      <c r="C230" s="35">
        <v>70483.3</v>
      </c>
      <c r="D230" s="17">
        <f t="shared" si="6"/>
        <v>9.38727087992401E-3</v>
      </c>
      <c r="E230" s="17">
        <f t="shared" si="7"/>
        <v>9.4069518186647785E-3</v>
      </c>
      <c r="F230" s="31"/>
    </row>
    <row r="231" spans="1:6">
      <c r="A231" s="14">
        <v>45965</v>
      </c>
      <c r="B231" s="38">
        <v>16.534300000000002</v>
      </c>
      <c r="C231" s="35">
        <v>70168.800000000003</v>
      </c>
      <c r="D231" s="17">
        <f t="shared" si="6"/>
        <v>-4.4720345326193286E-3</v>
      </c>
      <c r="E231" s="17">
        <f t="shared" si="7"/>
        <v>-4.4595382046432371E-3</v>
      </c>
      <c r="F231" s="31"/>
    </row>
    <row r="232" spans="1:6">
      <c r="A232" s="12">
        <v>45967</v>
      </c>
      <c r="B232" s="37">
        <v>16.3293</v>
      </c>
      <c r="C232" s="35">
        <v>69299.55</v>
      </c>
      <c r="D232" s="17">
        <f t="shared" si="6"/>
        <v>-1.2465355124334171E-2</v>
      </c>
      <c r="E232" s="17">
        <f t="shared" si="7"/>
        <v>-1.247597092292888E-2</v>
      </c>
      <c r="F232" s="31"/>
    </row>
    <row r="233" spans="1:6">
      <c r="A233" s="14">
        <v>45968</v>
      </c>
      <c r="B233" s="38">
        <v>16.3462</v>
      </c>
      <c r="C233" s="35">
        <v>69366.149999999994</v>
      </c>
      <c r="D233" s="17">
        <f t="shared" si="6"/>
        <v>9.6058369331547089E-4</v>
      </c>
      <c r="E233" s="17">
        <f t="shared" si="7"/>
        <v>1.0344142557534024E-3</v>
      </c>
      <c r="F233" s="31"/>
    </row>
    <row r="234" spans="1:6">
      <c r="A234" s="12">
        <v>45971</v>
      </c>
      <c r="B234" s="37">
        <v>16.407699999999998</v>
      </c>
      <c r="C234" s="35">
        <v>69629.2</v>
      </c>
      <c r="D234" s="17">
        <f t="shared" si="6"/>
        <v>3.7850232262671931E-3</v>
      </c>
      <c r="E234" s="17">
        <f t="shared" si="7"/>
        <v>3.7552824105513472E-3</v>
      </c>
      <c r="F234" s="31"/>
    </row>
    <row r="235" spans="1:6">
      <c r="A235" s="14">
        <v>45972</v>
      </c>
      <c r="B235" s="38">
        <v>16.430199999999999</v>
      </c>
      <c r="C235" s="35">
        <v>69725.100000000006</v>
      </c>
      <c r="D235" s="17">
        <f t="shared" si="6"/>
        <v>1.3763481304688594E-3</v>
      </c>
      <c r="E235" s="17">
        <f t="shared" si="7"/>
        <v>1.37036799071072E-3</v>
      </c>
      <c r="F235" s="31"/>
    </row>
    <row r="236" spans="1:6">
      <c r="A236" s="12">
        <v>45973</v>
      </c>
      <c r="B236" s="37">
        <v>16.4495</v>
      </c>
      <c r="C236" s="35">
        <v>69807.95</v>
      </c>
      <c r="D236" s="17">
        <f t="shared" si="6"/>
        <v>1.187532412378051E-3</v>
      </c>
      <c r="E236" s="17">
        <f t="shared" si="7"/>
        <v>1.1739767830387339E-3</v>
      </c>
      <c r="F236" s="31"/>
    </row>
    <row r="237" spans="1:6">
      <c r="A237" s="14">
        <v>45974</v>
      </c>
      <c r="B237" s="38">
        <v>16.459700000000002</v>
      </c>
      <c r="C237" s="35">
        <v>69851.649999999994</v>
      </c>
      <c r="D237" s="17">
        <f t="shared" si="6"/>
        <v>6.2580734050782629E-4</v>
      </c>
      <c r="E237" s="17">
        <f t="shared" si="7"/>
        <v>6.198874677367706E-4</v>
      </c>
      <c r="F237" s="31"/>
    </row>
    <row r="238" spans="1:6">
      <c r="A238" s="12">
        <v>45975</v>
      </c>
      <c r="B238" s="37">
        <v>16.443999999999999</v>
      </c>
      <c r="C238" s="35">
        <v>69786.850000000006</v>
      </c>
      <c r="D238" s="17">
        <f t="shared" si="6"/>
        <v>-9.2811086701007322E-4</v>
      </c>
      <c r="E238" s="17">
        <f t="shared" si="7"/>
        <v>-9.5430004476617692E-4</v>
      </c>
      <c r="F238" s="31"/>
    </row>
    <row r="239" spans="1:6">
      <c r="A239" s="14">
        <v>45978</v>
      </c>
      <c r="B239" s="38">
        <v>16.529699999999998</v>
      </c>
      <c r="C239" s="35">
        <v>70154.100000000006</v>
      </c>
      <c r="D239" s="17">
        <f t="shared" si="6"/>
        <v>5.2486544230923799E-3</v>
      </c>
      <c r="E239" s="17">
        <f t="shared" si="7"/>
        <v>5.1980938122822735E-3</v>
      </c>
      <c r="F239" s="31"/>
    </row>
    <row r="240" spans="1:6">
      <c r="A240" s="12">
        <v>45979</v>
      </c>
      <c r="B240" s="37">
        <v>16.409400000000002</v>
      </c>
      <c r="C240" s="35">
        <v>69643.5</v>
      </c>
      <c r="D240" s="17">
        <f t="shared" si="6"/>
        <v>-7.3048789180848537E-3</v>
      </c>
      <c r="E240" s="17">
        <f t="shared" si="7"/>
        <v>-7.3044214856578926E-3</v>
      </c>
      <c r="F240" s="31"/>
    </row>
    <row r="241" spans="1:6">
      <c r="A241" s="14">
        <v>45980</v>
      </c>
      <c r="B241" s="38">
        <v>16.407499999999999</v>
      </c>
      <c r="C241" s="35">
        <v>69635.850000000006</v>
      </c>
      <c r="D241" s="17">
        <f t="shared" si="6"/>
        <v>-1.0985117331019572E-4</v>
      </c>
      <c r="E241" s="17">
        <f t="shared" si="7"/>
        <v>-1.1579399651555026E-4</v>
      </c>
      <c r="F241" s="31"/>
    </row>
    <row r="242" spans="1:6">
      <c r="A242" s="12">
        <v>45981</v>
      </c>
      <c r="B242" s="37">
        <v>16.391300000000001</v>
      </c>
      <c r="C242" s="35">
        <v>69567.75</v>
      </c>
      <c r="D242" s="17">
        <f t="shared" si="6"/>
        <v>-9.7842304987438193E-4</v>
      </c>
      <c r="E242" s="17">
        <f t="shared" si="7"/>
        <v>-9.8784109890412224E-4</v>
      </c>
      <c r="F242" s="31"/>
    </row>
    <row r="243" spans="1:6">
      <c r="A243" s="14">
        <v>45982</v>
      </c>
      <c r="B243" s="38">
        <v>16.180199999999999</v>
      </c>
      <c r="C243" s="35">
        <v>68669.149999999994</v>
      </c>
      <c r="D243" s="17">
        <f t="shared" si="6"/>
        <v>-1.3001053369956035E-2</v>
      </c>
      <c r="E243" s="17">
        <f t="shared" si="7"/>
        <v>-1.2962433773455354E-2</v>
      </c>
      <c r="F243" s="31"/>
    </row>
    <row r="244" spans="1:6">
      <c r="A244" s="12">
        <v>45985</v>
      </c>
      <c r="B244" s="37">
        <v>16.021599999999999</v>
      </c>
      <c r="C244" s="35">
        <v>67997.45</v>
      </c>
      <c r="D244" s="17">
        <f t="shared" si="6"/>
        <v>-9.8298400431113282E-3</v>
      </c>
      <c r="E244" s="17">
        <f t="shared" si="7"/>
        <v>-9.8504606843044795E-3</v>
      </c>
      <c r="F244" s="31"/>
    </row>
    <row r="245" spans="1:6">
      <c r="A245" s="14">
        <v>45986</v>
      </c>
      <c r="B245" s="38">
        <v>16.0627</v>
      </c>
      <c r="C245" s="35">
        <v>68172.45</v>
      </c>
      <c r="D245" s="17">
        <f t="shared" si="6"/>
        <v>2.5703198187768256E-3</v>
      </c>
      <c r="E245" s="17">
        <f t="shared" si="7"/>
        <v>2.5620021307119103E-3</v>
      </c>
      <c r="F245" s="31"/>
    </row>
    <row r="246" spans="1:6">
      <c r="A246" s="12">
        <v>45987</v>
      </c>
      <c r="B246" s="37">
        <v>16.305700000000002</v>
      </c>
      <c r="C246" s="35">
        <v>69189.399999999994</v>
      </c>
      <c r="D246" s="17">
        <f t="shared" si="6"/>
        <v>1.4807147408001131E-2</v>
      </c>
      <c r="E246" s="17">
        <f t="shared" si="7"/>
        <v>1.5014925996027044E-2</v>
      </c>
      <c r="F246" s="31"/>
    </row>
    <row r="247" spans="1:6">
      <c r="A247" s="14">
        <v>45988</v>
      </c>
      <c r="B247" s="38">
        <v>16.2774</v>
      </c>
      <c r="C247" s="35">
        <v>69069.8</v>
      </c>
      <c r="D247" s="17">
        <f t="shared" si="6"/>
        <v>-1.7300842161987703E-3</v>
      </c>
      <c r="E247" s="17">
        <f t="shared" si="7"/>
        <v>-1.7370972753537376E-3</v>
      </c>
      <c r="F247" s="31"/>
    </row>
    <row r="248" spans="1:6">
      <c r="A248" s="12">
        <v>45989</v>
      </c>
      <c r="B248" s="37">
        <v>16.293199999999999</v>
      </c>
      <c r="C248" s="36">
        <v>69137.45</v>
      </c>
      <c r="D248" s="17">
        <f t="shared" si="6"/>
        <v>9.789646404629196E-4</v>
      </c>
      <c r="E248" s="17">
        <f t="shared" si="7"/>
        <v>9.7020019522898408E-4</v>
      </c>
      <c r="F248" s="31"/>
    </row>
    <row r="249" spans="1:6">
      <c r="A249" s="1"/>
      <c r="D249" s="7"/>
      <c r="E249" s="7"/>
    </row>
    <row r="250" spans="1:6">
      <c r="A250" s="1"/>
      <c r="D250" s="7"/>
      <c r="E250" s="7"/>
    </row>
  </sheetData>
  <mergeCells count="5">
    <mergeCell ref="L2:M2"/>
    <mergeCell ref="L3:M3"/>
    <mergeCell ref="L4:M4"/>
    <mergeCell ref="L5:M5"/>
    <mergeCell ref="L6:M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99AC-3F09-4EFD-9F99-265E3E244703}">
  <sheetPr>
    <tabColor theme="4" tint="0.39997558519241921"/>
  </sheetPr>
  <dimension ref="F1:Z16"/>
  <sheetViews>
    <sheetView zoomScale="81" zoomScaleNormal="102" workbookViewId="0">
      <selection activeCell="AA20" sqref="AA20"/>
    </sheetView>
  </sheetViews>
  <sheetFormatPr defaultRowHeight="14.4"/>
  <cols>
    <col min="1" max="16384" width="8.88671875" style="54"/>
  </cols>
  <sheetData>
    <row r="1" spans="6:26">
      <c r="F1" s="56"/>
    </row>
    <row r="16" spans="6:26">
      <c r="Z16" s="5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04820-A7B8-4D3D-A3DE-90A0B12F9B78}">
  <sheetPr>
    <tabColor theme="4" tint="0.39997558519241921"/>
  </sheetPr>
  <dimension ref="A1:L7"/>
  <sheetViews>
    <sheetView tabSelected="1" zoomScale="64" workbookViewId="0">
      <selection activeCell="AA2" sqref="AA2"/>
    </sheetView>
  </sheetViews>
  <sheetFormatPr defaultRowHeight="14.4"/>
  <cols>
    <col min="1" max="1" width="0.88671875" customWidth="1"/>
    <col min="2" max="2" width="24.44140625" style="54" customWidth="1"/>
    <col min="3" max="10" width="15.77734375" style="54" customWidth="1"/>
    <col min="11" max="16384" width="8.88671875" style="54"/>
  </cols>
  <sheetData>
    <row r="1" spans="2:12" ht="6.6" customHeight="1">
      <c r="B1"/>
      <c r="C1"/>
      <c r="D1"/>
      <c r="E1"/>
      <c r="F1"/>
      <c r="G1"/>
      <c r="H1"/>
      <c r="I1"/>
      <c r="J1"/>
      <c r="K1"/>
    </row>
    <row r="2" spans="2:12" ht="37.200000000000003" customHeight="1">
      <c r="B2" s="71" t="s">
        <v>28</v>
      </c>
      <c r="C2" s="74" t="s">
        <v>33</v>
      </c>
      <c r="D2" s="75" t="s">
        <v>25</v>
      </c>
      <c r="E2" s="74" t="s">
        <v>48</v>
      </c>
      <c r="F2" s="74" t="s">
        <v>47</v>
      </c>
      <c r="G2" s="74" t="s">
        <v>29</v>
      </c>
      <c r="H2" s="74" t="s">
        <v>46</v>
      </c>
      <c r="I2" s="74" t="s">
        <v>21</v>
      </c>
      <c r="J2" s="74" t="s">
        <v>30</v>
      </c>
      <c r="L2" s="9"/>
    </row>
    <row r="3" spans="2:12" ht="42" customHeight="1">
      <c r="B3" s="71" t="s">
        <v>45</v>
      </c>
      <c r="C3" s="72">
        <f>'SBI Balanced Advantage Fund '!Q2</f>
        <v>2.806661995717576E-2</v>
      </c>
      <c r="D3" s="78">
        <f>'SBI Balanced Advantage Fund '!F3</f>
        <v>0.47444578046398889</v>
      </c>
      <c r="E3" s="72">
        <f>'SBI Balanced Advantage Fund '!N2</f>
        <v>9.2190129455136161E-2</v>
      </c>
      <c r="F3" s="72">
        <f>'SBI Balanced Advantage Fund '!N3</f>
        <v>3.8988833789710749E-2</v>
      </c>
      <c r="G3" s="73">
        <f>'SBI Balanced Advantage Fund '!N4</f>
        <v>-0.81903911809877061</v>
      </c>
      <c r="H3" s="73">
        <f>'SBI Balanced Advantage Fund '!N5</f>
        <v>-6.7306700486607085E-2</v>
      </c>
      <c r="I3" s="72">
        <f>'SBI Balanced Advantage Fund '!N6</f>
        <v>7.7936704504317708E-4</v>
      </c>
      <c r="J3" s="74" t="s">
        <v>31</v>
      </c>
      <c r="L3" s="9"/>
    </row>
    <row r="4" spans="2:12" ht="47.4" customHeight="1">
      <c r="B4" s="71" t="s">
        <v>41</v>
      </c>
      <c r="C4" s="72">
        <f>'Tata Arbitrage Fund'!Q2</f>
        <v>4.0336686370078534E-2</v>
      </c>
      <c r="D4" s="78">
        <f>'Tata Arbitrage Fund'!F3</f>
        <v>0.10612092887433033</v>
      </c>
      <c r="E4" s="72">
        <f>'Tata Arbitrage Fund'!N2</f>
        <v>7.1706592001106184E-2</v>
      </c>
      <c r="F4" s="72">
        <f>'Tata Arbitrage Fund'!N3</f>
        <v>2.1402679782817374E-2</v>
      </c>
      <c r="G4" s="73">
        <f>'Tata Arbitrage Fund'!N4</f>
        <v>-0.91873138454875547</v>
      </c>
      <c r="H4" s="73">
        <f>'Tata Arbitrage Fund'!N5</f>
        <v>-0.18529157102655022</v>
      </c>
      <c r="I4" s="72">
        <f>'Tata Arbitrage Fund'!N6</f>
        <v>-1.8084851662619118E-2</v>
      </c>
      <c r="J4" s="74">
        <v>2</v>
      </c>
    </row>
    <row r="5" spans="2:12" ht="47.4" customHeight="1">
      <c r="B5" s="71" t="s">
        <v>44</v>
      </c>
      <c r="C5" s="72">
        <f>'Canara Robeco Large CAP Fund'!Q2</f>
        <v>6.2774861682508946E-3</v>
      </c>
      <c r="D5" s="78">
        <f>'Canara Robeco Large CAP Fund'!F3</f>
        <v>0.82001956263139764</v>
      </c>
      <c r="E5" s="72">
        <f>'Canara Robeco Large CAP Fund'!N2</f>
        <v>7.5613562207405227E-2</v>
      </c>
      <c r="F5" s="72">
        <f>'Canara Robeco Large CAP Fund'!N3</f>
        <v>4.8761496958593928E-2</v>
      </c>
      <c r="G5" s="73">
        <f>'Canara Robeco Large CAP Fund'!N4</f>
        <v>-1.1017404547150766</v>
      </c>
      <c r="H5" s="73">
        <f>'Canara Robeco Large CAP Fund'!N5</f>
        <v>-6.5513697818813624E-2</v>
      </c>
      <c r="I5" s="72">
        <f>'Canara Robeco Large CAP Fund'!N6</f>
        <v>1.149309892705154E-4</v>
      </c>
      <c r="J5" s="74">
        <v>3</v>
      </c>
    </row>
    <row r="6" spans="2:12" ht="43.2" customHeight="1">
      <c r="B6" s="71" t="s">
        <v>42</v>
      </c>
      <c r="C6" s="72">
        <f>'Edelweiss liquid fund'!Q2</f>
        <v>3.7259367332387619E-2</v>
      </c>
      <c r="D6" s="78">
        <f>'Edelweiss liquid fund'!F3</f>
        <v>-6.7060662774400294E-3</v>
      </c>
      <c r="E6" s="72">
        <f>'Edelweiss liquid fund'!N2</f>
        <v>6.6520125235721483E-2</v>
      </c>
      <c r="F6" s="72">
        <f>'Edelweiss liquid fund'!N3</f>
        <v>2.0074324287481609E-2</v>
      </c>
      <c r="G6" s="73">
        <f>'Edelweiss liquid fund'!N4</f>
        <v>-1.1328218246326471</v>
      </c>
      <c r="H6" s="73">
        <f>'Edelweiss liquid fund'!N5</f>
        <v>3.3910539691673578</v>
      </c>
      <c r="I6" s="72">
        <f>'Edelweiss liquid fund'!N6</f>
        <v>-2.3335133938124329E-2</v>
      </c>
      <c r="J6" s="74">
        <v>4</v>
      </c>
    </row>
    <row r="7" spans="2:12" ht="47.4" customHeight="1">
      <c r="B7" s="71" t="s">
        <v>43</v>
      </c>
      <c r="C7" s="72">
        <f>'HDFC NIFTY Next 50 Index Fund'!Q2</f>
        <v>-7.283981642702865E-2</v>
      </c>
      <c r="D7" s="78">
        <f>'HDFC NIFTY Next 50 Index Fund'!F3</f>
        <v>0.83109156493585712</v>
      </c>
      <c r="E7" s="72">
        <f>'HDFC NIFTY Next 50 Index Fund'!N2</f>
        <v>-2.5100671944090602E-2</v>
      </c>
      <c r="F7" s="72">
        <f>'HDFC NIFTY Next 50 Index Fund'!N3</f>
        <v>5.1424236154983406E-2</v>
      </c>
      <c r="G7" s="73">
        <f>'HDFC NIFTY Next 50 Index Fund'!N4</f>
        <v>-2.5832141876968926</v>
      </c>
      <c r="H7" s="73">
        <f>'HDFC NIFTY Next 50 Index Fund'!N5</f>
        <v>-0.15983776280689491</v>
      </c>
      <c r="I7" s="72">
        <f>'HDFC NIFTY Next 50 Index Fund'!N6</f>
        <v>-2.3483649734758569E-2</v>
      </c>
      <c r="J7" s="74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</vt:lpstr>
      <vt:lpstr>SBI Balanced Advantage Fund </vt:lpstr>
      <vt:lpstr>Tata Arbitrage Fund</vt:lpstr>
      <vt:lpstr>Canara Robeco Large CAP Fund</vt:lpstr>
      <vt:lpstr>Edelweiss liquid fund</vt:lpstr>
      <vt:lpstr>HDFC NIFTY Next 50 Index Fund</vt:lpstr>
      <vt:lpstr>DASHBOARD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Bariya</dc:creator>
  <cp:lastModifiedBy>Pratibha Jain</cp:lastModifiedBy>
  <cp:lastPrinted>2025-12-20T15:48:38Z</cp:lastPrinted>
  <dcterms:created xsi:type="dcterms:W3CDTF">2025-12-20T11:47:55Z</dcterms:created>
  <dcterms:modified xsi:type="dcterms:W3CDTF">2026-06-29T06:31:13Z</dcterms:modified>
</cp:coreProperties>
</file>